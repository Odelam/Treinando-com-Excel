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Projetos-B.I\Excel\Excel-Curso\excel-analise-de-cenarios\"/>
    </mc:Choice>
  </mc:AlternateContent>
  <xr:revisionPtr revIDLastSave="0" documentId="13_ncr:1_{C4B52399-9C99-4F2D-B724-3BADDA41D3E1}" xr6:coauthVersionLast="46" xr6:coauthVersionMax="46" xr10:uidLastSave="{00000000-0000-0000-0000-000000000000}"/>
  <bookViews>
    <workbookView xWindow="-108" yWindow="-108" windowWidth="23256" windowHeight="12576" activeTab="2" xr2:uid="{53A9BE1F-2343-4AE7-864C-EBB48DD38A18}"/>
  </bookViews>
  <sheets>
    <sheet name="Simulações-2" sheetId="3" r:id="rId1"/>
    <sheet name="Simulações-3" sheetId="4" r:id="rId2"/>
    <sheet name="Simulações-4" sheetId="5" r:id="rId3"/>
    <sheet name="Vendas" sheetId="2" r:id="rId4"/>
    <sheet name="Simulações" sheetId="1" r:id="rId5"/>
  </sheets>
  <definedNames>
    <definedName name="_xlchart.v1.0" hidden="1">Vendas!$A$2:$A$1732</definedName>
    <definedName name="_xlchart.v1.1" hidden="1">Vendas!$A$2:$A$1732</definedName>
    <definedName name="_xlchart.v1.2" hidden="1">Vendas!$A$2:$A$1732</definedName>
    <definedName name="_xlchart.v1.3" hidden="1">Vendas!$A$2:$A$1732</definedName>
    <definedName name="_xlchart.v1.4" hidden="1">Vendas!$A$2:$A$1732</definedName>
    <definedName name="_xlchart.v1.5" hidden="1">Vendas!$A$2:$A$1732</definedName>
    <definedName name="_xlchart.v1.6" hidden="1">Vendas!$A$2:$A$1732</definedName>
    <definedName name="_xlchart.v1.7" hidden="1">Vendas!$A$2:$A$1732</definedName>
    <definedName name="DadosExternos_1" localSheetId="3" hidden="1">Vendas!$A$1:$C$1732</definedName>
    <definedName name="DataLancamentoUltimaVersao" comment="Nessa data foi lançada a última versão do produto.">Vendas!$G$14</definedName>
    <definedName name="PF" comment="Pessoa Física">Vendas!$F$3</definedName>
    <definedName name="PJ" comment="Pessoa Jurídica">Vendas!$F$4</definedName>
    <definedName name="TaxaCrescimentoQdtVendas" localSheetId="0">'Simulações-2'!$C$5</definedName>
    <definedName name="TaxaCrescimentoQdtVendas" localSheetId="1">'Simulações-3'!$C$8</definedName>
    <definedName name="TaxaCrescimentoQdtVendas" localSheetId="2">'Simulações-4'!$C$8</definedName>
    <definedName name="TaxaCrescimentoQdtVendas">Simulações!$C$5</definedName>
    <definedName name="TaxaCrescimentoVendas" localSheetId="0">'Simulações-2'!$C$5</definedName>
    <definedName name="TaxaCrescimentoVendas" localSheetId="1">'Simulações-3'!$C$8</definedName>
    <definedName name="TaxaCrescimentoVendas" localSheetId="2">'Simulações-4'!$C$8</definedName>
    <definedName name="TaxaCrescimentoVendas">Simulações!$C$5</definedName>
    <definedName name="TicketMedio" localSheetId="0">'Simulações-2'!$C$4</definedName>
    <definedName name="TicketMedio" localSheetId="1">'Simulações-3'!$C$6</definedName>
    <definedName name="TicketMedio" localSheetId="2">'Simulações-4'!$C$6</definedName>
    <definedName name="TicketMedio">Simulações!$C$4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5" l="1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D15" i="5"/>
  <c r="E15" i="5" s="1"/>
  <c r="F15" i="5" s="1"/>
  <c r="G15" i="5" s="1"/>
  <c r="T14" i="5"/>
  <c r="C8" i="4"/>
  <c r="D15" i="4" s="1"/>
  <c r="C6" i="4"/>
  <c r="T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D10" i="3"/>
  <c r="E10" i="3" s="1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11" i="3" s="1"/>
  <c r="D8" i="3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9" i="1"/>
  <c r="C11" i="1" s="1"/>
  <c r="D10" i="1"/>
  <c r="E10" i="1" s="1"/>
  <c r="F10" i="1" s="1"/>
  <c r="G10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G9" i="2"/>
  <c r="G5" i="2"/>
  <c r="G4" i="2"/>
  <c r="G3" i="2"/>
  <c r="G16" i="2"/>
  <c r="G15" i="2"/>
  <c r="O14" i="5" l="1"/>
  <c r="E14" i="5"/>
  <c r="E16" i="5" s="1"/>
  <c r="G14" i="5"/>
  <c r="M14" i="5"/>
  <c r="H15" i="5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T16" i="5" s="1"/>
  <c r="F14" i="5"/>
  <c r="F16" i="5" s="1"/>
  <c r="N14" i="5"/>
  <c r="H14" i="5"/>
  <c r="P14" i="5"/>
  <c r="I14" i="5"/>
  <c r="Q14" i="5"/>
  <c r="J14" i="5"/>
  <c r="R14" i="5"/>
  <c r="C14" i="5"/>
  <c r="C16" i="5" s="1"/>
  <c r="K14" i="5"/>
  <c r="S14" i="5"/>
  <c r="D14" i="5"/>
  <c r="D16" i="5" s="1"/>
  <c r="L14" i="5"/>
  <c r="E14" i="4"/>
  <c r="M14" i="4"/>
  <c r="F14" i="4"/>
  <c r="N14" i="4"/>
  <c r="G14" i="4"/>
  <c r="O14" i="4"/>
  <c r="H14" i="4"/>
  <c r="P14" i="4"/>
  <c r="I14" i="4"/>
  <c r="Q14" i="4"/>
  <c r="J14" i="4"/>
  <c r="R14" i="4"/>
  <c r="C14" i="4"/>
  <c r="C16" i="4" s="1"/>
  <c r="K14" i="4"/>
  <c r="S14" i="4"/>
  <c r="D14" i="4"/>
  <c r="D16" i="4" s="1"/>
  <c r="L14" i="4"/>
  <c r="E15" i="4"/>
  <c r="F15" i="4" s="1"/>
  <c r="G15" i="4" s="1"/>
  <c r="D11" i="3"/>
  <c r="E11" i="3"/>
  <c r="F10" i="3"/>
  <c r="F11" i="3" s="1"/>
  <c r="H10" i="1"/>
  <c r="G11" i="1"/>
  <c r="F11" i="1"/>
  <c r="E11" i="1"/>
  <c r="D11" i="1"/>
  <c r="V14" i="5" l="1"/>
  <c r="P16" i="5"/>
  <c r="H16" i="5"/>
  <c r="G16" i="5"/>
  <c r="V15" i="5"/>
  <c r="S16" i="5"/>
  <c r="K16" i="5"/>
  <c r="N16" i="5"/>
  <c r="M16" i="5"/>
  <c r="R16" i="5"/>
  <c r="O16" i="5"/>
  <c r="J16" i="5"/>
  <c r="Q16" i="5"/>
  <c r="L16" i="5"/>
  <c r="I16" i="5"/>
  <c r="E16" i="4"/>
  <c r="H15" i="4"/>
  <c r="F16" i="4"/>
  <c r="G16" i="4"/>
  <c r="G10" i="3"/>
  <c r="H10" i="3" s="1"/>
  <c r="I10" i="1"/>
  <c r="H11" i="1"/>
  <c r="V16" i="5" l="1"/>
  <c r="V17" i="5"/>
  <c r="I15" i="4"/>
  <c r="H16" i="4"/>
  <c r="G11" i="3"/>
  <c r="I10" i="3"/>
  <c r="H11" i="3"/>
  <c r="J10" i="1"/>
  <c r="I11" i="1"/>
  <c r="V18" i="5" l="1"/>
  <c r="U18" i="5" s="1"/>
  <c r="J15" i="4"/>
  <c r="I16" i="4"/>
  <c r="J10" i="3"/>
  <c r="I11" i="3"/>
  <c r="K10" i="1"/>
  <c r="J11" i="1"/>
  <c r="B5" i="5" l="1"/>
  <c r="K15" i="4"/>
  <c r="J16" i="4"/>
  <c r="K10" i="3"/>
  <c r="J11" i="3"/>
  <c r="L10" i="1"/>
  <c r="K11" i="1"/>
  <c r="K16" i="4" l="1"/>
  <c r="L15" i="4"/>
  <c r="L10" i="3"/>
  <c r="K11" i="3"/>
  <c r="M10" i="1"/>
  <c r="L11" i="1"/>
  <c r="L16" i="4" l="1"/>
  <c r="M15" i="4"/>
  <c r="L11" i="3"/>
  <c r="M10" i="3"/>
  <c r="N10" i="1"/>
  <c r="M11" i="1"/>
  <c r="N15" i="4" l="1"/>
  <c r="M16" i="4"/>
  <c r="M11" i="3"/>
  <c r="N10" i="3"/>
  <c r="O10" i="1"/>
  <c r="N11" i="1"/>
  <c r="O15" i="4" l="1"/>
  <c r="N16" i="4"/>
  <c r="N11" i="3"/>
  <c r="O10" i="3"/>
  <c r="P10" i="1"/>
  <c r="O11" i="1"/>
  <c r="P15" i="4" l="1"/>
  <c r="O16" i="4"/>
  <c r="P10" i="3"/>
  <c r="O11" i="3"/>
  <c r="Q10" i="1"/>
  <c r="P11" i="1"/>
  <c r="Q15" i="4" l="1"/>
  <c r="P16" i="4"/>
  <c r="Q10" i="3"/>
  <c r="P11" i="3"/>
  <c r="R10" i="1"/>
  <c r="V9" i="1" s="1"/>
  <c r="Q11" i="1"/>
  <c r="R15" i="4" l="1"/>
  <c r="Q16" i="4"/>
  <c r="R10" i="3"/>
  <c r="Q11" i="3"/>
  <c r="V10" i="1"/>
  <c r="V11" i="1" s="1"/>
  <c r="B16" i="1" s="1"/>
  <c r="S10" i="1"/>
  <c r="R11" i="1"/>
  <c r="V12" i="1" s="1"/>
  <c r="S15" i="4" l="1"/>
  <c r="R16" i="4"/>
  <c r="V17" i="4" s="1"/>
  <c r="V15" i="4"/>
  <c r="V14" i="4"/>
  <c r="S10" i="3"/>
  <c r="R11" i="3"/>
  <c r="V12" i="3" s="1"/>
  <c r="V9" i="3"/>
  <c r="V11" i="3" s="1"/>
  <c r="V10" i="3"/>
  <c r="V13" i="1"/>
  <c r="U13" i="1" s="1"/>
  <c r="T10" i="1"/>
  <c r="T11" i="1" s="1"/>
  <c r="S11" i="1"/>
  <c r="S16" i="4" l="1"/>
  <c r="T15" i="4"/>
  <c r="T16" i="4" s="1"/>
  <c r="V16" i="4"/>
  <c r="V18" i="4" s="1"/>
  <c r="V13" i="3"/>
  <c r="T10" i="3"/>
  <c r="T11" i="3" s="1"/>
  <c r="S11" i="3"/>
  <c r="B3" i="1"/>
  <c r="U18" i="4" l="1"/>
  <c r="B5" i="4"/>
  <c r="U13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2F4025-80EA-4F0B-B9F1-A8D70475B774}" keepAlive="1" name="Consulta - dados" description="Conexão com a consulta 'dados' na pasta de trabalho." type="5" refreshedVersion="6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<sst xmlns="http://schemas.openxmlformats.org/spreadsheetml/2006/main" count="1771" uniqueCount="20">
  <si>
    <t>Preço</t>
  </si>
  <si>
    <t>Categoria</t>
  </si>
  <si>
    <t>Data</t>
  </si>
  <si>
    <t>PF</t>
  </si>
  <si>
    <t>PJ</t>
  </si>
  <si>
    <t>Média da Venda</t>
  </si>
  <si>
    <t>Após da Data</t>
  </si>
  <si>
    <t>Antes da Data</t>
  </si>
  <si>
    <t>Média Geral</t>
  </si>
  <si>
    <t>Mediana</t>
  </si>
  <si>
    <t>Quantidade</t>
  </si>
  <si>
    <t>Receita</t>
  </si>
  <si>
    <t>Aumento de Volume Mensal</t>
  </si>
  <si>
    <t>Ticket Médio</t>
  </si>
  <si>
    <t>Premissas</t>
  </si>
  <si>
    <t>Receita 2019 - Cenários</t>
  </si>
  <si>
    <t>Conservador</t>
  </si>
  <si>
    <t>Base</t>
  </si>
  <si>
    <t>Agressivo</t>
  </si>
  <si>
    <t>Cenário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</si>
</sst>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53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1" xfId="1"/>
    <xf numFmtId="44" fontId="1" fillId="0" borderId="1" xfId="1" applyNumberFormat="1"/>
    <xf numFmtId="14" fontId="1" fillId="0" borderId="1" xfId="1" applyNumberFormat="1"/>
    <xf numFmtId="44" fontId="0" fillId="0" borderId="0" xfId="2" applyFont="1"/>
    <xf numFmtId="0" fontId="1" fillId="0" borderId="0" xfId="0" applyFont="1"/>
    <xf numFmtId="0" fontId="4" fillId="2" borderId="3" xfId="4"/>
    <xf numFmtId="44" fontId="4" fillId="2" borderId="3" xfId="4" applyNumberFormat="1"/>
    <xf numFmtId="9" fontId="0" fillId="0" borderId="0" xfId="0" applyNumberFormat="1"/>
    <xf numFmtId="0" fontId="2" fillId="3" borderId="0" xfId="5"/>
    <xf numFmtId="14" fontId="2" fillId="3" borderId="0" xfId="5" applyNumberFormat="1"/>
    <xf numFmtId="44" fontId="2" fillId="3" borderId="0" xfId="5" applyNumberFormat="1"/>
    <xf numFmtId="0" fontId="1" fillId="3" borderId="1" xfId="1" applyFill="1"/>
    <xf numFmtId="44" fontId="1" fillId="3" borderId="1" xfId="1" applyNumberFormat="1" applyFill="1"/>
    <xf numFmtId="0" fontId="6" fillId="0" borderId="0" xfId="0" applyFont="1"/>
    <xf numFmtId="9" fontId="6" fillId="0" borderId="0" xfId="0" applyNumberFormat="1" applyFont="1"/>
    <xf numFmtId="44" fontId="5" fillId="0" borderId="0" xfId="0" applyNumberFormat="1" applyFont="1"/>
    <xf numFmtId="44" fontId="7" fillId="0" borderId="0" xfId="0" applyNumberFormat="1" applyFont="1"/>
    <xf numFmtId="44" fontId="0" fillId="0" borderId="4" xfId="2" applyFont="1" applyBorder="1"/>
    <xf numFmtId="44" fontId="0" fillId="0" borderId="5" xfId="2" applyFont="1" applyBorder="1"/>
    <xf numFmtId="44" fontId="0" fillId="0" borderId="6" xfId="2" applyFont="1" applyBorder="1"/>
    <xf numFmtId="44" fontId="0" fillId="0" borderId="7" xfId="2" applyFont="1" applyBorder="1"/>
    <xf numFmtId="44" fontId="0" fillId="0" borderId="0" xfId="2" applyFont="1" applyBorder="1"/>
    <xf numFmtId="44" fontId="0" fillId="0" borderId="8" xfId="2" applyFont="1" applyBorder="1"/>
    <xf numFmtId="44" fontId="0" fillId="0" borderId="9" xfId="2" applyFont="1" applyBorder="1"/>
    <xf numFmtId="44" fontId="0" fillId="0" borderId="10" xfId="2" applyFont="1" applyBorder="1"/>
    <xf numFmtId="44" fontId="0" fillId="0" borderId="11" xfId="2" applyFont="1" applyBorder="1"/>
    <xf numFmtId="9" fontId="2" fillId="4" borderId="0" xfId="6" applyNumberFormat="1"/>
    <xf numFmtId="44" fontId="2" fillId="4" borderId="5" xfId="6" applyNumberFormat="1" applyBorder="1"/>
    <xf numFmtId="44" fontId="2" fillId="4" borderId="0" xfId="6" applyNumberFormat="1" applyBorder="1"/>
    <xf numFmtId="44" fontId="2" fillId="4" borderId="10" xfId="6" applyNumberFormat="1" applyBorder="1"/>
    <xf numFmtId="44" fontId="2" fillId="4" borderId="0" xfId="6" applyNumberFormat="1"/>
    <xf numFmtId="44" fontId="2" fillId="4" borderId="7" xfId="6" applyNumberFormat="1" applyBorder="1"/>
    <xf numFmtId="44" fontId="2" fillId="4" borderId="8" xfId="6" applyNumberFormat="1" applyBorder="1"/>
    <xf numFmtId="44" fontId="1" fillId="4" borderId="0" xfId="6" applyNumberFormat="1" applyFont="1" applyBorder="1"/>
    <xf numFmtId="0" fontId="2" fillId="0" borderId="0" xfId="5" applyFill="1" applyBorder="1"/>
    <xf numFmtId="0" fontId="0" fillId="0" borderId="0" xfId="0" applyFill="1" applyBorder="1"/>
    <xf numFmtId="44" fontId="5" fillId="0" borderId="0" xfId="0" applyNumberFormat="1" applyFont="1" applyFill="1" applyBorder="1"/>
    <xf numFmtId="9" fontId="0" fillId="0" borderId="0" xfId="0" applyNumberFormat="1" applyFill="1" applyBorder="1"/>
    <xf numFmtId="9" fontId="2" fillId="0" borderId="0" xfId="6" applyNumberFormat="1" applyFill="1" applyBorder="1"/>
    <xf numFmtId="44" fontId="7" fillId="0" borderId="0" xfId="0" applyNumberFormat="1" applyFont="1" applyFill="1" applyBorder="1"/>
    <xf numFmtId="44" fontId="0" fillId="0" borderId="0" xfId="2" applyFont="1" applyFill="1" applyBorder="1"/>
    <xf numFmtId="44" fontId="2" fillId="0" borderId="0" xfId="6" applyNumberFormat="1" applyFill="1" applyBorder="1"/>
    <xf numFmtId="44" fontId="1" fillId="0" borderId="0" xfId="6" applyNumberFormat="1" applyFont="1" applyFill="1" applyBorder="1"/>
    <xf numFmtId="9" fontId="2" fillId="3" borderId="0" xfId="5" applyNumberFormat="1"/>
    <xf numFmtId="0" fontId="3" fillId="3" borderId="2" xfId="3" applyFill="1"/>
    <xf numFmtId="0" fontId="2" fillId="0" borderId="0" xfId="5" applyFill="1"/>
    <xf numFmtId="9" fontId="2" fillId="0" borderId="0" xfId="5" applyNumberFormat="1" applyFill="1"/>
    <xf numFmtId="0" fontId="0" fillId="0" borderId="0" xfId="0" applyFill="1"/>
    <xf numFmtId="0" fontId="2" fillId="0" borderId="0" xfId="5" applyNumberFormat="1" applyFill="1"/>
    <xf numFmtId="44" fontId="2" fillId="3" borderId="0" xfId="2" applyFill="1"/>
  </cellXfs>
  <cellStyles count="7">
    <cellStyle name="40% - Ênfase1" xfId="5" builtinId="31"/>
    <cellStyle name="60% - Ênfase3" xfId="6" builtinId="40"/>
    <cellStyle name="Moeda" xfId="2" builtinId="4"/>
    <cellStyle name="Normal" xfId="0" builtinId="0"/>
    <cellStyle name="Saída" xfId="4" builtinId="21"/>
    <cellStyle name="Título 3" xfId="3" builtinId="18"/>
    <cellStyle name="Total" xfId="1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do Valor do Contrato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do Valor do Contrato</a:t>
          </a:r>
        </a:p>
      </cx:txPr>
    </cx:title>
    <cx:plotArea>
      <cx:plotAreaRegion>
        <cx:series layoutId="clusteredColumn" uniqueId="{04153165-4D80-49E6-87FC-8555A0E0A6D1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R$ #.##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91440</xdr:rowOff>
    </xdr:from>
    <xdr:to>
      <xdr:col>18</xdr:col>
      <xdr:colOff>601980</xdr:colOff>
      <xdr:row>21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A7C2E51-949C-403C-AFB4-E669D3BC4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700" y="274320"/>
              <a:ext cx="6050280" cy="377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6462CB96-8C29-4104-95BC-76704C2ED1C8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A6A6F-CB33-40E1-BD49-6795222C92FA}" name="dados" displayName="dados" ref="A1:C1732" tableType="queryTable" totalsRowShown="0">
  <autoFilter ref="A1:C1732" xr:uid="{96512582-5E8E-4982-9D03-D2A2FA60AB7D}"/>
  <tableColumns count="3">
    <tableColumn id="1" xr3:uid="{980371FF-C154-4A34-9653-5FB9EDD8B8B7}" uniqueName="1" name="Preço" queryTableFieldId="1"/>
    <tableColumn id="2" xr3:uid="{C4458EC4-37C3-463A-83C2-31CFFF60FF5C}" uniqueName="2" name="Categoria" queryTableFieldId="2" dataDxfId="1"/>
    <tableColumn id="3" xr3:uid="{BA33286A-6695-45AB-B2AF-6EC75BF49579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6860-0B54-45AC-8EFB-DD69728DCE40}">
  <dimension ref="B3:V21"/>
  <sheetViews>
    <sheetView workbookViewId="0">
      <selection activeCell="F18" sqref="F18"/>
    </sheetView>
  </sheetViews>
  <sheetFormatPr defaultRowHeight="14.4" x14ac:dyDescent="0.3"/>
  <cols>
    <col min="2" max="2" width="25.77734375" bestFit="1" customWidth="1"/>
    <col min="3" max="3" width="16.77734375" bestFit="1" customWidth="1"/>
    <col min="4" max="6" width="16.6640625" bestFit="1" customWidth="1"/>
    <col min="7" max="7" width="16.5546875" bestFit="1" customWidth="1"/>
    <col min="8" max="20" width="15.6640625" bestFit="1" customWidth="1"/>
    <col min="21" max="21" width="15.77734375" customWidth="1"/>
    <col min="22" max="22" width="16.6640625" bestFit="1" customWidth="1"/>
  </cols>
  <sheetData>
    <row r="3" spans="2:22" x14ac:dyDescent="0.3">
      <c r="B3" t="str">
        <f>IF($V$13=0,"","Existe um erro de validação!!!")</f>
        <v/>
      </c>
      <c r="C3" s="7" t="s">
        <v>14</v>
      </c>
    </row>
    <row r="4" spans="2:22" x14ac:dyDescent="0.3">
      <c r="B4" t="s">
        <v>13</v>
      </c>
      <c r="C4" s="16">
        <v>90</v>
      </c>
    </row>
    <row r="5" spans="2:22" x14ac:dyDescent="0.3">
      <c r="B5" t="s">
        <v>12</v>
      </c>
      <c r="C5" s="17">
        <v>0.05</v>
      </c>
    </row>
    <row r="6" spans="2:22" x14ac:dyDescent="0.3">
      <c r="C6" s="10"/>
    </row>
    <row r="7" spans="2:22" x14ac:dyDescent="0.3">
      <c r="B7" s="11"/>
      <c r="C7" s="11">
        <v>2018</v>
      </c>
      <c r="D7" s="11">
        <v>2018</v>
      </c>
      <c r="E7" s="11">
        <v>2018</v>
      </c>
      <c r="F7" s="11">
        <v>2018</v>
      </c>
      <c r="G7" s="11">
        <v>2019</v>
      </c>
      <c r="H7" s="11">
        <v>2019</v>
      </c>
      <c r="I7" s="11">
        <v>2019</v>
      </c>
      <c r="J7" s="11">
        <v>2019</v>
      </c>
      <c r="K7" s="11">
        <v>2019</v>
      </c>
      <c r="L7" s="11">
        <v>2019</v>
      </c>
      <c r="M7" s="11">
        <v>2019</v>
      </c>
      <c r="N7" s="11">
        <v>2019</v>
      </c>
      <c r="O7" s="11">
        <v>2019</v>
      </c>
      <c r="P7" s="11">
        <v>2019</v>
      </c>
      <c r="Q7" s="11">
        <v>2019</v>
      </c>
      <c r="R7" s="11">
        <v>2019</v>
      </c>
      <c r="S7" s="11">
        <v>2020</v>
      </c>
      <c r="T7" s="11">
        <v>2020</v>
      </c>
      <c r="U7" s="11"/>
      <c r="V7" s="11">
        <v>2019</v>
      </c>
    </row>
    <row r="8" spans="2:22" x14ac:dyDescent="0.3">
      <c r="B8" s="11"/>
      <c r="C8" s="12">
        <v>43373</v>
      </c>
      <c r="D8" s="12">
        <f>EOMONTH(C8,1)</f>
        <v>43404</v>
      </c>
      <c r="E8" s="12">
        <f>EOMONTH(D8,1)</f>
        <v>43434</v>
      </c>
      <c r="F8" s="12">
        <f>EOMONTH(E8,1)</f>
        <v>43465</v>
      </c>
      <c r="G8" s="12">
        <f t="shared" ref="G8:S8" si="0">EOMONTH(F8,1)</f>
        <v>43496</v>
      </c>
      <c r="H8" s="12">
        <f t="shared" si="0"/>
        <v>43524</v>
      </c>
      <c r="I8" s="12">
        <f t="shared" si="0"/>
        <v>43555</v>
      </c>
      <c r="J8" s="12">
        <f t="shared" si="0"/>
        <v>43585</v>
      </c>
      <c r="K8" s="12">
        <f t="shared" si="0"/>
        <v>43616</v>
      </c>
      <c r="L8" s="12">
        <f t="shared" si="0"/>
        <v>43646</v>
      </c>
      <c r="M8" s="12">
        <f t="shared" si="0"/>
        <v>43677</v>
      </c>
      <c r="N8" s="12">
        <f t="shared" si="0"/>
        <v>43708</v>
      </c>
      <c r="O8" s="12">
        <f t="shared" si="0"/>
        <v>43738</v>
      </c>
      <c r="P8" s="12">
        <f t="shared" si="0"/>
        <v>43769</v>
      </c>
      <c r="Q8" s="12">
        <f t="shared" si="0"/>
        <v>43799</v>
      </c>
      <c r="R8" s="12">
        <f t="shared" si="0"/>
        <v>43830</v>
      </c>
      <c r="S8" s="12">
        <f t="shared" si="0"/>
        <v>43861</v>
      </c>
      <c r="T8" s="12">
        <f>EOMONTH(S8,1)</f>
        <v>43890</v>
      </c>
      <c r="U8" s="12"/>
      <c r="V8" s="11"/>
    </row>
    <row r="9" spans="2:22" x14ac:dyDescent="0.3">
      <c r="B9" s="11" t="s">
        <v>0</v>
      </c>
      <c r="C9" s="13">
        <f>TicketMedio</f>
        <v>90</v>
      </c>
      <c r="D9" s="13">
        <f>TicketMedio</f>
        <v>90</v>
      </c>
      <c r="E9" s="13">
        <f>TicketMedio</f>
        <v>90</v>
      </c>
      <c r="F9" s="13">
        <f>TicketMedio</f>
        <v>90</v>
      </c>
      <c r="G9" s="13">
        <f>TicketMedio</f>
        <v>90</v>
      </c>
      <c r="H9" s="13">
        <f>TicketMedio</f>
        <v>90</v>
      </c>
      <c r="I9" s="13">
        <f>TicketMedio</f>
        <v>90</v>
      </c>
      <c r="J9" s="13">
        <f>TicketMedio</f>
        <v>90</v>
      </c>
      <c r="K9" s="13">
        <f>TicketMedio</f>
        <v>90</v>
      </c>
      <c r="L9" s="13">
        <f>TicketMedio</f>
        <v>90</v>
      </c>
      <c r="M9" s="13">
        <f>TicketMedio</f>
        <v>90</v>
      </c>
      <c r="N9" s="13">
        <f>TicketMedio</f>
        <v>90</v>
      </c>
      <c r="O9" s="13">
        <f>TicketMedio</f>
        <v>90</v>
      </c>
      <c r="P9" s="13">
        <f>TicketMedio</f>
        <v>90</v>
      </c>
      <c r="Q9" s="13">
        <f>TicketMedio</f>
        <v>90</v>
      </c>
      <c r="R9" s="13">
        <f>TicketMedio</f>
        <v>90</v>
      </c>
      <c r="S9" s="13">
        <f>TicketMedio</f>
        <v>90</v>
      </c>
      <c r="T9" s="13">
        <f>TicketMedio</f>
        <v>90</v>
      </c>
      <c r="U9" s="13"/>
      <c r="V9" s="13">
        <f>SUMPRODUCT(G9:R9,G10:R10)/SUM(G10:R10)</f>
        <v>89.999999999999986</v>
      </c>
    </row>
    <row r="10" spans="2:22" x14ac:dyDescent="0.3">
      <c r="B10" s="11" t="s">
        <v>10</v>
      </c>
      <c r="C10" s="13">
        <v>10000</v>
      </c>
      <c r="D10" s="13">
        <f>C10*(1+TaxaCrescimentoQdtVendas)</f>
        <v>10500</v>
      </c>
      <c r="E10" s="13">
        <f>D10*(1+TaxaCrescimentoQdtVendas)</f>
        <v>11025</v>
      </c>
      <c r="F10" s="13">
        <f>E10*(1+TaxaCrescimentoQdtVendas)</f>
        <v>11576.25</v>
      </c>
      <c r="G10" s="13">
        <f>F10*(1+TaxaCrescimentoQdtVendas)</f>
        <v>12155.0625</v>
      </c>
      <c r="H10" s="13">
        <f>G10*(1+TaxaCrescimentoQdtVendas)</f>
        <v>12762.815625000001</v>
      </c>
      <c r="I10" s="13">
        <f>H10*(1+TaxaCrescimentoQdtVendas)</f>
        <v>13400.956406250001</v>
      </c>
      <c r="J10" s="13">
        <f>I10*(1+TaxaCrescimentoQdtVendas)</f>
        <v>14071.004226562502</v>
      </c>
      <c r="K10" s="13">
        <f>J10*(1+TaxaCrescimentoQdtVendas)</f>
        <v>14774.554437890627</v>
      </c>
      <c r="L10" s="13">
        <f>K10*(1+TaxaCrescimentoQdtVendas)</f>
        <v>15513.28215978516</v>
      </c>
      <c r="M10" s="13">
        <f>L10*(1+TaxaCrescimentoQdtVendas)</f>
        <v>16288.946267774418</v>
      </c>
      <c r="N10" s="13">
        <f>M10*(1+TaxaCrescimentoQdtVendas)</f>
        <v>17103.393581163138</v>
      </c>
      <c r="O10" s="13">
        <f>N10*(1+TaxaCrescimentoQdtVendas)</f>
        <v>17958.563260221297</v>
      </c>
      <c r="P10" s="13">
        <f>O10*(1+TaxaCrescimentoQdtVendas)</f>
        <v>18856.491423232364</v>
      </c>
      <c r="Q10" s="13">
        <f>P10*(1+TaxaCrescimentoQdtVendas)</f>
        <v>19799.315994393983</v>
      </c>
      <c r="R10" s="13">
        <f>Q10*(1+TaxaCrescimentoQdtVendas)</f>
        <v>20789.281794113682</v>
      </c>
      <c r="S10" s="13">
        <f>R10*(1+TaxaCrescimentoQdtVendas)</f>
        <v>21828.745883819367</v>
      </c>
      <c r="T10" s="13">
        <f>S10*(1+TaxaCrescimentoQdtVendas)</f>
        <v>22920.183178010335</v>
      </c>
      <c r="U10" s="13"/>
      <c r="V10" s="13">
        <f>SUM(G10:R10)</f>
        <v>193473.66767638718</v>
      </c>
    </row>
    <row r="11" spans="2:22" ht="15" thickBot="1" x14ac:dyDescent="0.35">
      <c r="B11" s="14" t="s">
        <v>11</v>
      </c>
      <c r="C11" s="15">
        <f>C9*C10</f>
        <v>900000</v>
      </c>
      <c r="D11" s="15">
        <f>D9*D10</f>
        <v>945000</v>
      </c>
      <c r="E11" s="15">
        <f>E9*E10</f>
        <v>992250</v>
      </c>
      <c r="F11" s="15">
        <f>F9*F10</f>
        <v>1041862.5</v>
      </c>
      <c r="G11" s="15">
        <f t="shared" ref="G11:T11" si="1">G9*G10</f>
        <v>1093955.625</v>
      </c>
      <c r="H11" s="15">
        <f t="shared" si="1"/>
        <v>1148653.40625</v>
      </c>
      <c r="I11" s="15">
        <f t="shared" si="1"/>
        <v>1206086.0765625001</v>
      </c>
      <c r="J11" s="15">
        <f t="shared" si="1"/>
        <v>1266390.3803906252</v>
      </c>
      <c r="K11" s="15">
        <f t="shared" si="1"/>
        <v>1329709.8994101565</v>
      </c>
      <c r="L11" s="15">
        <f t="shared" si="1"/>
        <v>1396195.3943806645</v>
      </c>
      <c r="M11" s="15">
        <f t="shared" si="1"/>
        <v>1466005.1640996975</v>
      </c>
      <c r="N11" s="15">
        <f t="shared" si="1"/>
        <v>1539305.4223046824</v>
      </c>
      <c r="O11" s="15">
        <f t="shared" si="1"/>
        <v>1616270.6934199168</v>
      </c>
      <c r="P11" s="15">
        <f t="shared" si="1"/>
        <v>1697084.2280909128</v>
      </c>
      <c r="Q11" s="15">
        <f t="shared" si="1"/>
        <v>1781938.4394954585</v>
      </c>
      <c r="R11" s="15">
        <f t="shared" si="1"/>
        <v>1871035.3614702313</v>
      </c>
      <c r="S11" s="15">
        <f t="shared" si="1"/>
        <v>1964587.1295437431</v>
      </c>
      <c r="T11" s="15">
        <f t="shared" si="1"/>
        <v>2062816.4860209301</v>
      </c>
      <c r="U11" s="15"/>
      <c r="V11" s="15">
        <f>V9*V10</f>
        <v>17412630.090874843</v>
      </c>
    </row>
    <row r="12" spans="2:22" ht="15" thickTop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3">
        <f>SUM(G11:R11)</f>
        <v>17412630.090874843</v>
      </c>
    </row>
    <row r="13" spans="2:22" x14ac:dyDescent="0.3">
      <c r="U13" t="str">
        <f>IF($V$13=0,"","Existe um erro de validação!!!")</f>
        <v/>
      </c>
      <c r="V13">
        <f>ROUND(V12-V11,2)</f>
        <v>0</v>
      </c>
    </row>
    <row r="15" spans="2:22" x14ac:dyDescent="0.3">
      <c r="B15" s="37"/>
      <c r="C15" s="38"/>
      <c r="D15" s="38"/>
      <c r="E15" s="38"/>
      <c r="F15" s="38"/>
      <c r="G15" s="38"/>
    </row>
    <row r="16" spans="2:22" x14ac:dyDescent="0.3">
      <c r="B16" s="39"/>
      <c r="C16" s="40"/>
      <c r="D16" s="40"/>
      <c r="E16" s="40"/>
      <c r="F16" s="41"/>
      <c r="G16" s="40"/>
    </row>
    <row r="17" spans="2:7" x14ac:dyDescent="0.3">
      <c r="B17" s="42"/>
      <c r="C17" s="43"/>
      <c r="D17" s="43"/>
      <c r="E17" s="43"/>
      <c r="F17" s="44"/>
      <c r="G17" s="43"/>
    </row>
    <row r="18" spans="2:7" x14ac:dyDescent="0.3">
      <c r="B18" s="43"/>
      <c r="C18" s="43"/>
      <c r="D18" s="43"/>
      <c r="E18" s="43"/>
      <c r="F18" s="44"/>
      <c r="G18" s="43"/>
    </row>
    <row r="19" spans="2:7" x14ac:dyDescent="0.3">
      <c r="B19" s="44"/>
      <c r="C19" s="44"/>
      <c r="D19" s="44"/>
      <c r="E19" s="44"/>
      <c r="F19" s="45"/>
      <c r="G19" s="44"/>
    </row>
    <row r="20" spans="2:7" x14ac:dyDescent="0.3">
      <c r="B20" s="43"/>
      <c r="C20" s="43"/>
      <c r="D20" s="43"/>
      <c r="E20" s="43"/>
      <c r="F20" s="44"/>
      <c r="G20" s="43"/>
    </row>
    <row r="21" spans="2:7" x14ac:dyDescent="0.3">
      <c r="B21" s="43"/>
      <c r="C21" s="43"/>
      <c r="D21" s="43"/>
      <c r="E21" s="43"/>
      <c r="F21" s="44"/>
      <c r="G21" s="43"/>
    </row>
  </sheetData>
  <protectedRanges>
    <protectedRange sqref="C4:C5" name="Premissa"/>
  </protectedRanges>
  <scenarios current="0" show="0">
    <scenario name="Conservador" locked="1" count="2" user="Usuario" comment="Criado por Usuario em 06/04/2021">
      <inputCells r="C4" val="90"/>
      <inputCells r="C5" val="0,05" numFmtId="9"/>
    </scenario>
    <scenario name="Agressivo" locked="1" count="2" user="Usuario" comment="Criado por Usuario em 06/04/2021">
      <inputCells r="C4" val="110"/>
      <inputCells r="C5" val="0,15" numFmtId="9"/>
    </scenario>
    <scenario name="Base" locked="1" count="2" user="Usuario" comment="Criado por Usuario em 06/04/2021">
      <inputCells r="C4" val="100"/>
      <inputCells r="C5" val="0,1" numFmtId="9"/>
    </scenario>
  </scenario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928B-BF69-4630-8813-6225569D620B}">
  <dimension ref="B2:V26"/>
  <sheetViews>
    <sheetView workbookViewId="0">
      <selection activeCell="B29" sqref="B29"/>
    </sheetView>
  </sheetViews>
  <sheetFormatPr defaultRowHeight="14.4" x14ac:dyDescent="0.3"/>
  <cols>
    <col min="2" max="2" width="25.77734375" bestFit="1" customWidth="1"/>
    <col min="3" max="3" width="16.77734375" bestFit="1" customWidth="1"/>
    <col min="4" max="6" width="16.6640625" bestFit="1" customWidth="1"/>
    <col min="7" max="7" width="16.5546875" bestFit="1" customWidth="1"/>
    <col min="8" max="20" width="15.6640625" bestFit="1" customWidth="1"/>
    <col min="21" max="21" width="15.77734375" customWidth="1"/>
    <col min="22" max="22" width="16.6640625" bestFit="1" customWidth="1"/>
  </cols>
  <sheetData>
    <row r="2" spans="2:22" x14ac:dyDescent="0.3">
      <c r="B2" t="s">
        <v>19</v>
      </c>
      <c r="C2" s="16" t="s">
        <v>16</v>
      </c>
    </row>
    <row r="5" spans="2:22" ht="15" thickBot="1" x14ac:dyDescent="0.35">
      <c r="B5" s="11" t="str">
        <f>IF($V$18=0,"","Existe um erro de validação!!!")</f>
        <v/>
      </c>
      <c r="C5" s="47" t="s">
        <v>14</v>
      </c>
      <c r="D5" s="47"/>
      <c r="E5" s="47" t="s">
        <v>16</v>
      </c>
      <c r="F5" s="47" t="s">
        <v>17</v>
      </c>
      <c r="G5" s="47" t="s">
        <v>18</v>
      </c>
    </row>
    <row r="6" spans="2:22" x14ac:dyDescent="0.3">
      <c r="B6" s="11" t="s">
        <v>13</v>
      </c>
      <c r="C6" s="52">
        <f>HLOOKUP($C$2,E5:G6,2,FALSE)</f>
        <v>90</v>
      </c>
      <c r="D6" s="52"/>
      <c r="E6" s="52">
        <v>90</v>
      </c>
      <c r="F6" s="52">
        <v>100</v>
      </c>
      <c r="G6" s="52">
        <v>110</v>
      </c>
    </row>
    <row r="7" spans="2:22" x14ac:dyDescent="0.3">
      <c r="B7" s="11"/>
      <c r="C7" s="11"/>
      <c r="D7" s="11"/>
      <c r="E7" s="11"/>
      <c r="F7" s="11"/>
      <c r="G7" s="11"/>
    </row>
    <row r="8" spans="2:22" x14ac:dyDescent="0.3">
      <c r="B8" s="11" t="s">
        <v>12</v>
      </c>
      <c r="C8" s="46">
        <f>INDEX(E8:G8,1,MATCH($C$2,$E$5:$G$5,0))</f>
        <v>-0.05</v>
      </c>
      <c r="D8" s="11"/>
      <c r="E8" s="46">
        <v>-0.05</v>
      </c>
      <c r="F8" s="46">
        <v>0.1</v>
      </c>
      <c r="G8" s="46">
        <v>0.1</v>
      </c>
    </row>
    <row r="9" spans="2:22" x14ac:dyDescent="0.3">
      <c r="B9" s="48"/>
      <c r="C9" s="51"/>
      <c r="D9" s="48"/>
      <c r="E9" s="49"/>
      <c r="F9" s="49"/>
      <c r="G9" s="49"/>
      <c r="H9" s="50"/>
    </row>
    <row r="10" spans="2:22" x14ac:dyDescent="0.3">
      <c r="B10" s="48"/>
      <c r="C10" s="49"/>
      <c r="D10" s="48"/>
      <c r="E10" s="49"/>
      <c r="F10" s="49"/>
      <c r="G10" s="49"/>
      <c r="H10" s="50"/>
    </row>
    <row r="11" spans="2:22" x14ac:dyDescent="0.3">
      <c r="C11" s="10"/>
    </row>
    <row r="12" spans="2:22" x14ac:dyDescent="0.3">
      <c r="B12" s="11"/>
      <c r="C12" s="11">
        <v>2018</v>
      </c>
      <c r="D12" s="11">
        <v>2018</v>
      </c>
      <c r="E12" s="11">
        <v>2018</v>
      </c>
      <c r="F12" s="11">
        <v>2018</v>
      </c>
      <c r="G12" s="11">
        <v>2019</v>
      </c>
      <c r="H12" s="11">
        <v>2019</v>
      </c>
      <c r="I12" s="11">
        <v>2019</v>
      </c>
      <c r="J12" s="11">
        <v>2019</v>
      </c>
      <c r="K12" s="11">
        <v>2019</v>
      </c>
      <c r="L12" s="11">
        <v>2019</v>
      </c>
      <c r="M12" s="11">
        <v>2019</v>
      </c>
      <c r="N12" s="11">
        <v>2019</v>
      </c>
      <c r="O12" s="11">
        <v>2019</v>
      </c>
      <c r="P12" s="11">
        <v>2019</v>
      </c>
      <c r="Q12" s="11">
        <v>2019</v>
      </c>
      <c r="R12" s="11">
        <v>2019</v>
      </c>
      <c r="S12" s="11">
        <v>2020</v>
      </c>
      <c r="T12" s="11">
        <v>2020</v>
      </c>
      <c r="U12" s="11"/>
      <c r="V12" s="11">
        <v>2019</v>
      </c>
    </row>
    <row r="13" spans="2:22" x14ac:dyDescent="0.3">
      <c r="B13" s="11"/>
      <c r="C13" s="12">
        <v>43373</v>
      </c>
      <c r="D13" s="12">
        <f>EOMONTH(C13,1)</f>
        <v>43404</v>
      </c>
      <c r="E13" s="12">
        <f>EOMONTH(D13,1)</f>
        <v>43434</v>
      </c>
      <c r="F13" s="12">
        <f>EOMONTH(E13,1)</f>
        <v>43465</v>
      </c>
      <c r="G13" s="12">
        <f t="shared" ref="G13:S13" si="0">EOMONTH(F13,1)</f>
        <v>43496</v>
      </c>
      <c r="H13" s="12">
        <f t="shared" si="0"/>
        <v>43524</v>
      </c>
      <c r="I13" s="12">
        <f t="shared" si="0"/>
        <v>43555</v>
      </c>
      <c r="J13" s="12">
        <f t="shared" si="0"/>
        <v>43585</v>
      </c>
      <c r="K13" s="12">
        <f t="shared" si="0"/>
        <v>43616</v>
      </c>
      <c r="L13" s="12">
        <f t="shared" si="0"/>
        <v>43646</v>
      </c>
      <c r="M13" s="12">
        <f t="shared" si="0"/>
        <v>43677</v>
      </c>
      <c r="N13" s="12">
        <f t="shared" si="0"/>
        <v>43708</v>
      </c>
      <c r="O13" s="12">
        <f t="shared" si="0"/>
        <v>43738</v>
      </c>
      <c r="P13" s="12">
        <f t="shared" si="0"/>
        <v>43769</v>
      </c>
      <c r="Q13" s="12">
        <f t="shared" si="0"/>
        <v>43799</v>
      </c>
      <c r="R13" s="12">
        <f t="shared" si="0"/>
        <v>43830</v>
      </c>
      <c r="S13" s="12">
        <f t="shared" si="0"/>
        <v>43861</v>
      </c>
      <c r="T13" s="12">
        <f>EOMONTH(S13,1)</f>
        <v>43890</v>
      </c>
      <c r="U13" s="12"/>
      <c r="V13" s="11"/>
    </row>
    <row r="14" spans="2:22" x14ac:dyDescent="0.3">
      <c r="B14" s="11" t="s">
        <v>0</v>
      </c>
      <c r="C14" s="13">
        <f>TicketMedio</f>
        <v>90</v>
      </c>
      <c r="D14" s="13">
        <f>TicketMedio</f>
        <v>90</v>
      </c>
      <c r="E14" s="13">
        <f>TicketMedio</f>
        <v>90</v>
      </c>
      <c r="F14" s="13">
        <f>TicketMedio</f>
        <v>90</v>
      </c>
      <c r="G14" s="13">
        <f>TicketMedio</f>
        <v>90</v>
      </c>
      <c r="H14" s="13">
        <f>TicketMedio</f>
        <v>90</v>
      </c>
      <c r="I14" s="13">
        <f>TicketMedio</f>
        <v>90</v>
      </c>
      <c r="J14" s="13">
        <f>TicketMedio</f>
        <v>90</v>
      </c>
      <c r="K14" s="13">
        <f>TicketMedio</f>
        <v>90</v>
      </c>
      <c r="L14" s="13">
        <f>TicketMedio</f>
        <v>90</v>
      </c>
      <c r="M14" s="13">
        <f>TicketMedio</f>
        <v>90</v>
      </c>
      <c r="N14" s="13">
        <f>TicketMedio</f>
        <v>90</v>
      </c>
      <c r="O14" s="13">
        <f>TicketMedio</f>
        <v>90</v>
      </c>
      <c r="P14" s="13">
        <f>TicketMedio</f>
        <v>90</v>
      </c>
      <c r="Q14" s="13">
        <f>TicketMedio</f>
        <v>90</v>
      </c>
      <c r="R14" s="13">
        <f>TicketMedio</f>
        <v>90</v>
      </c>
      <c r="S14" s="13">
        <f>TicketMedio</f>
        <v>90</v>
      </c>
      <c r="T14" s="13">
        <f>TicketMedio</f>
        <v>90</v>
      </c>
      <c r="U14" s="13"/>
      <c r="V14" s="13">
        <f>SUMPRODUCT(G14:R14,G15:R15)/SUM(G15:R15)</f>
        <v>90</v>
      </c>
    </row>
    <row r="15" spans="2:22" x14ac:dyDescent="0.3">
      <c r="B15" s="11" t="s">
        <v>10</v>
      </c>
      <c r="C15" s="13">
        <v>10000</v>
      </c>
      <c r="D15" s="13">
        <f>C15*(1+TaxaCrescimentoQdtVendas)</f>
        <v>9500</v>
      </c>
      <c r="E15" s="13">
        <f>D15*(1+TaxaCrescimentoQdtVendas)</f>
        <v>9025</v>
      </c>
      <c r="F15" s="13">
        <f>E15*(1+TaxaCrescimentoQdtVendas)</f>
        <v>8573.75</v>
      </c>
      <c r="G15" s="13">
        <f>F15*(1+TaxaCrescimentoQdtVendas)</f>
        <v>8145.0625</v>
      </c>
      <c r="H15" s="13">
        <f>G15*(1+TaxaCrescimentoQdtVendas)</f>
        <v>7737.8093749999998</v>
      </c>
      <c r="I15" s="13">
        <f>H15*(1+TaxaCrescimentoQdtVendas)</f>
        <v>7350.9189062499991</v>
      </c>
      <c r="J15" s="13">
        <f>I15*(1+TaxaCrescimentoQdtVendas)</f>
        <v>6983.3729609374986</v>
      </c>
      <c r="K15" s="13">
        <f>J15*(1+TaxaCrescimentoQdtVendas)</f>
        <v>6634.2043128906234</v>
      </c>
      <c r="L15" s="13">
        <f>K15*(1+TaxaCrescimentoQdtVendas)</f>
        <v>6302.4940972460918</v>
      </c>
      <c r="M15" s="13">
        <f>L15*(1+TaxaCrescimentoQdtVendas)</f>
        <v>5987.3693923837873</v>
      </c>
      <c r="N15" s="13">
        <f>M15*(1+TaxaCrescimentoQdtVendas)</f>
        <v>5688.0009227645978</v>
      </c>
      <c r="O15" s="13">
        <f>N15*(1+TaxaCrescimentoQdtVendas)</f>
        <v>5403.6008766263676</v>
      </c>
      <c r="P15" s="13">
        <f>O15*(1+TaxaCrescimentoQdtVendas)</f>
        <v>5133.4208327950491</v>
      </c>
      <c r="Q15" s="13">
        <f>P15*(1+TaxaCrescimentoQdtVendas)</f>
        <v>4876.7497911552964</v>
      </c>
      <c r="R15" s="13">
        <f>Q15*(1+TaxaCrescimentoQdtVendas)</f>
        <v>4632.912301597531</v>
      </c>
      <c r="S15" s="13">
        <f>R15*(1+TaxaCrescimentoQdtVendas)</f>
        <v>4401.2666865176543</v>
      </c>
      <c r="T15" s="13">
        <f>S15*(1+TaxaCrescimentoQdtVendas)</f>
        <v>4181.203352191771</v>
      </c>
      <c r="U15" s="13"/>
      <c r="V15" s="13">
        <f>SUM(G15:R15)</f>
        <v>74875.916269646841</v>
      </c>
    </row>
    <row r="16" spans="2:22" ht="15" thickBot="1" x14ac:dyDescent="0.35">
      <c r="B16" s="14" t="s">
        <v>11</v>
      </c>
      <c r="C16" s="15">
        <f>C14*C15</f>
        <v>900000</v>
      </c>
      <c r="D16" s="15">
        <f>D14*D15</f>
        <v>855000</v>
      </c>
      <c r="E16" s="15">
        <f>E14*E15</f>
        <v>812250</v>
      </c>
      <c r="F16" s="15">
        <f>F14*F15</f>
        <v>771637.5</v>
      </c>
      <c r="G16" s="15">
        <f t="shared" ref="G16:T16" si="1">G14*G15</f>
        <v>733055.625</v>
      </c>
      <c r="H16" s="15">
        <f t="shared" si="1"/>
        <v>696402.84375</v>
      </c>
      <c r="I16" s="15">
        <f t="shared" si="1"/>
        <v>661582.70156249986</v>
      </c>
      <c r="J16" s="15">
        <f t="shared" si="1"/>
        <v>628503.56648437493</v>
      </c>
      <c r="K16" s="15">
        <f t="shared" si="1"/>
        <v>597078.38816015609</v>
      </c>
      <c r="L16" s="15">
        <f t="shared" si="1"/>
        <v>567224.46875214821</v>
      </c>
      <c r="M16" s="15">
        <f t="shared" si="1"/>
        <v>538863.24531454081</v>
      </c>
      <c r="N16" s="15">
        <f t="shared" si="1"/>
        <v>511920.0830488138</v>
      </c>
      <c r="O16" s="15">
        <f t="shared" si="1"/>
        <v>486324.0788963731</v>
      </c>
      <c r="P16" s="15">
        <f t="shared" si="1"/>
        <v>462007.8749515544</v>
      </c>
      <c r="Q16" s="15">
        <f t="shared" si="1"/>
        <v>438907.48120397667</v>
      </c>
      <c r="R16" s="15">
        <f t="shared" si="1"/>
        <v>416962.10714377777</v>
      </c>
      <c r="S16" s="15">
        <f t="shared" si="1"/>
        <v>396114.00178658887</v>
      </c>
      <c r="T16" s="15">
        <f t="shared" si="1"/>
        <v>376308.30169725942</v>
      </c>
      <c r="U16" s="15"/>
      <c r="V16" s="15">
        <f>V14*V15</f>
        <v>6738832.4642682159</v>
      </c>
    </row>
    <row r="17" spans="2:22" ht="15" thickTop="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3">
        <f>SUM(G16:R16)</f>
        <v>6738832.4642682159</v>
      </c>
    </row>
    <row r="18" spans="2:22" x14ac:dyDescent="0.3">
      <c r="U18" t="str">
        <f>IF($V$18=0,"","Existe um erro de validação!!!")</f>
        <v/>
      </c>
      <c r="V18">
        <f>ROUND(V17-V16,2)</f>
        <v>0</v>
      </c>
    </row>
    <row r="20" spans="2:22" x14ac:dyDescent="0.3">
      <c r="B20" s="37"/>
      <c r="C20" s="38"/>
      <c r="D20" s="38"/>
      <c r="E20" s="38"/>
      <c r="F20" s="38"/>
      <c r="G20" s="38"/>
    </row>
    <row r="21" spans="2:22" x14ac:dyDescent="0.3">
      <c r="B21" s="39"/>
      <c r="C21" s="40"/>
      <c r="D21" s="40"/>
      <c r="E21" s="40"/>
      <c r="F21" s="41"/>
      <c r="G21" s="40"/>
    </row>
    <row r="22" spans="2:22" x14ac:dyDescent="0.3">
      <c r="B22" s="42"/>
      <c r="C22" s="43"/>
      <c r="D22" s="43"/>
      <c r="E22" s="43"/>
      <c r="F22" s="44"/>
      <c r="G22" s="43"/>
    </row>
    <row r="23" spans="2:22" x14ac:dyDescent="0.3">
      <c r="B23" s="43"/>
      <c r="C23" s="43"/>
      <c r="D23" s="43"/>
      <c r="E23" s="43"/>
      <c r="F23" s="44"/>
      <c r="G23" s="43"/>
    </row>
    <row r="24" spans="2:22" x14ac:dyDescent="0.3">
      <c r="B24" s="44"/>
      <c r="C24" s="44"/>
      <c r="D24" s="44"/>
      <c r="E24" s="44"/>
      <c r="F24" s="45"/>
      <c r="G24" s="44"/>
    </row>
    <row r="25" spans="2:22" x14ac:dyDescent="0.3">
      <c r="B25" s="43"/>
      <c r="C25" s="43"/>
      <c r="D25" s="43"/>
      <c r="E25" s="43"/>
      <c r="F25" s="44"/>
      <c r="G25" s="43"/>
    </row>
    <row r="26" spans="2:22" x14ac:dyDescent="0.3">
      <c r="B26" s="43"/>
      <c r="C26" s="43"/>
      <c r="D26" s="43"/>
      <c r="E26" s="43"/>
      <c r="F26" s="44"/>
      <c r="G26" s="43"/>
    </row>
  </sheetData>
  <protectedRanges>
    <protectedRange sqref="C2" name="Intervalo2"/>
  </protectedRanges>
  <dataValidations count="1">
    <dataValidation type="list" allowBlank="1" showInputMessage="1" showErrorMessage="1" sqref="C2" xr:uid="{6E2B4058-FBFC-4523-8940-DB9EF6CD35A0}">
      <formula1>$E$5:$G$5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852D-727D-4C6B-870D-538150FFBFBC}">
  <dimension ref="B2:V26"/>
  <sheetViews>
    <sheetView tabSelected="1" workbookViewId="0">
      <selection activeCell="D20" sqref="D20"/>
    </sheetView>
  </sheetViews>
  <sheetFormatPr defaultRowHeight="14.4" x14ac:dyDescent="0.3"/>
  <cols>
    <col min="2" max="2" width="25.77734375" bestFit="1" customWidth="1"/>
    <col min="3" max="3" width="16.77734375" bestFit="1" customWidth="1"/>
    <col min="4" max="6" width="16.6640625" bestFit="1" customWidth="1"/>
    <col min="7" max="7" width="16.5546875" bestFit="1" customWidth="1"/>
    <col min="8" max="20" width="15.6640625" bestFit="1" customWidth="1"/>
    <col min="21" max="21" width="15.77734375" customWidth="1"/>
    <col min="22" max="22" width="16.6640625" bestFit="1" customWidth="1"/>
  </cols>
  <sheetData>
    <row r="2" spans="2:22" x14ac:dyDescent="0.3">
      <c r="C2" s="16"/>
    </row>
    <row r="5" spans="2:22" ht="15" thickBot="1" x14ac:dyDescent="0.35">
      <c r="B5" s="11" t="str">
        <f>IF($V$18=0,"","Existe um erro de validação!!!")</f>
        <v/>
      </c>
      <c r="C5" s="47" t="s">
        <v>14</v>
      </c>
    </row>
    <row r="6" spans="2:22" x14ac:dyDescent="0.3">
      <c r="B6" s="11" t="s">
        <v>13</v>
      </c>
      <c r="C6" s="52">
        <v>85.555555555560062</v>
      </c>
    </row>
    <row r="7" spans="2:22" x14ac:dyDescent="0.3">
      <c r="B7" s="11"/>
      <c r="C7" s="11"/>
    </row>
    <row r="8" spans="2:22" x14ac:dyDescent="0.3">
      <c r="B8" s="11" t="s">
        <v>12</v>
      </c>
      <c r="C8" s="46">
        <v>0.12771351970934144</v>
      </c>
    </row>
    <row r="9" spans="2:22" x14ac:dyDescent="0.3">
      <c r="B9" s="48"/>
      <c r="C9" s="51"/>
      <c r="D9" s="48"/>
      <c r="E9" s="49"/>
      <c r="F9" s="49"/>
      <c r="G9" s="49"/>
      <c r="H9" s="50"/>
    </row>
    <row r="10" spans="2:22" x14ac:dyDescent="0.3">
      <c r="B10" s="48"/>
      <c r="C10" s="49"/>
      <c r="D10" s="48"/>
      <c r="E10" s="49"/>
      <c r="F10" s="49"/>
      <c r="G10" s="49"/>
      <c r="H10" s="50"/>
    </row>
    <row r="11" spans="2:22" x14ac:dyDescent="0.3">
      <c r="C11" s="10"/>
    </row>
    <row r="12" spans="2:22" x14ac:dyDescent="0.3">
      <c r="B12" s="11"/>
      <c r="C12" s="11">
        <v>2018</v>
      </c>
      <c r="D12" s="11">
        <v>2018</v>
      </c>
      <c r="E12" s="11">
        <v>2018</v>
      </c>
      <c r="F12" s="11">
        <v>2018</v>
      </c>
      <c r="G12" s="11">
        <v>2019</v>
      </c>
      <c r="H12" s="11">
        <v>2019</v>
      </c>
      <c r="I12" s="11">
        <v>2019</v>
      </c>
      <c r="J12" s="11">
        <v>2019</v>
      </c>
      <c r="K12" s="11">
        <v>2019</v>
      </c>
      <c r="L12" s="11">
        <v>2019</v>
      </c>
      <c r="M12" s="11">
        <v>2019</v>
      </c>
      <c r="N12" s="11">
        <v>2019</v>
      </c>
      <c r="O12" s="11">
        <v>2019</v>
      </c>
      <c r="P12" s="11">
        <v>2019</v>
      </c>
      <c r="Q12" s="11">
        <v>2019</v>
      </c>
      <c r="R12" s="11">
        <v>2019</v>
      </c>
      <c r="S12" s="11">
        <v>2020</v>
      </c>
      <c r="T12" s="11">
        <v>2020</v>
      </c>
      <c r="U12" s="11"/>
      <c r="V12" s="11">
        <v>2019</v>
      </c>
    </row>
    <row r="13" spans="2:22" x14ac:dyDescent="0.3">
      <c r="B13" s="11"/>
      <c r="C13" s="12">
        <v>43373</v>
      </c>
      <c r="D13" s="12">
        <f>EOMONTH(C13,1)</f>
        <v>43404</v>
      </c>
      <c r="E13" s="12">
        <f>EOMONTH(D13,1)</f>
        <v>43434</v>
      </c>
      <c r="F13" s="12">
        <f>EOMONTH(E13,1)</f>
        <v>43465</v>
      </c>
      <c r="G13" s="12">
        <f t="shared" ref="G13:S13" si="0">EOMONTH(F13,1)</f>
        <v>43496</v>
      </c>
      <c r="H13" s="12">
        <f t="shared" si="0"/>
        <v>43524</v>
      </c>
      <c r="I13" s="12">
        <f t="shared" si="0"/>
        <v>43555</v>
      </c>
      <c r="J13" s="12">
        <f t="shared" si="0"/>
        <v>43585</v>
      </c>
      <c r="K13" s="12">
        <f t="shared" si="0"/>
        <v>43616</v>
      </c>
      <c r="L13" s="12">
        <f t="shared" si="0"/>
        <v>43646</v>
      </c>
      <c r="M13" s="12">
        <f t="shared" si="0"/>
        <v>43677</v>
      </c>
      <c r="N13" s="12">
        <f t="shared" si="0"/>
        <v>43708</v>
      </c>
      <c r="O13" s="12">
        <f t="shared" si="0"/>
        <v>43738</v>
      </c>
      <c r="P13" s="12">
        <f t="shared" si="0"/>
        <v>43769</v>
      </c>
      <c r="Q13" s="12">
        <f t="shared" si="0"/>
        <v>43799</v>
      </c>
      <c r="R13" s="12">
        <f t="shared" si="0"/>
        <v>43830</v>
      </c>
      <c r="S13" s="12">
        <f t="shared" si="0"/>
        <v>43861</v>
      </c>
      <c r="T13" s="12">
        <f>EOMONTH(S13,1)</f>
        <v>43890</v>
      </c>
      <c r="U13" s="12"/>
      <c r="V13" s="11"/>
    </row>
    <row r="14" spans="2:22" x14ac:dyDescent="0.3">
      <c r="B14" s="11" t="s">
        <v>0</v>
      </c>
      <c r="C14" s="13">
        <f>TicketMedio</f>
        <v>85.555555555560062</v>
      </c>
      <c r="D14" s="13">
        <f>TicketMedio</f>
        <v>85.555555555560062</v>
      </c>
      <c r="E14" s="13">
        <f>TicketMedio</f>
        <v>85.555555555560062</v>
      </c>
      <c r="F14" s="13">
        <f>TicketMedio</f>
        <v>85.555555555560062</v>
      </c>
      <c r="G14" s="13">
        <f>TicketMedio</f>
        <v>85.555555555560062</v>
      </c>
      <c r="H14" s="13">
        <f>TicketMedio</f>
        <v>85.555555555560062</v>
      </c>
      <c r="I14" s="13">
        <f>TicketMedio</f>
        <v>85.555555555560062</v>
      </c>
      <c r="J14" s="13">
        <f>TicketMedio</f>
        <v>85.555555555560062</v>
      </c>
      <c r="K14" s="13">
        <f>TicketMedio</f>
        <v>85.555555555560062</v>
      </c>
      <c r="L14" s="13">
        <f>TicketMedio</f>
        <v>85.555555555560062</v>
      </c>
      <c r="M14" s="13">
        <f>TicketMedio</f>
        <v>85.555555555560062</v>
      </c>
      <c r="N14" s="13">
        <f>TicketMedio</f>
        <v>85.555555555560062</v>
      </c>
      <c r="O14" s="13">
        <f>TicketMedio</f>
        <v>85.555555555560062</v>
      </c>
      <c r="P14" s="13">
        <f>TicketMedio</f>
        <v>85.555555555560062</v>
      </c>
      <c r="Q14" s="13">
        <f>TicketMedio</f>
        <v>85.555555555560062</v>
      </c>
      <c r="R14" s="13">
        <f>TicketMedio</f>
        <v>85.555555555560062</v>
      </c>
      <c r="S14" s="13">
        <f>TicketMedio</f>
        <v>85.555555555560062</v>
      </c>
      <c r="T14" s="13">
        <f>TicketMedio</f>
        <v>85.555555555560062</v>
      </c>
      <c r="U14" s="13"/>
      <c r="V14" s="13">
        <f>SUMPRODUCT(G14:R14,G15:R15)/SUM(G15:R15)</f>
        <v>85.555555555560048</v>
      </c>
    </row>
    <row r="15" spans="2:22" x14ac:dyDescent="0.3">
      <c r="B15" s="11" t="s">
        <v>10</v>
      </c>
      <c r="C15" s="13">
        <v>10000</v>
      </c>
      <c r="D15" s="13">
        <f>C15*(1+TaxaCrescimentoQdtVendas)</f>
        <v>11277.135197093416</v>
      </c>
      <c r="E15" s="13">
        <f>D15*(1+TaxaCrescimentoQdtVendas)</f>
        <v>12717.377825352314</v>
      </c>
      <c r="F15" s="13">
        <f>E15*(1+TaxaCrescimentoQdtVendas)</f>
        <v>14341.55890890159</v>
      </c>
      <c r="G15" s="13">
        <f>F15*(1+TaxaCrescimentoQdtVendas)</f>
        <v>16173.169875276277</v>
      </c>
      <c r="H15" s="13">
        <f>G15*(1+TaxaCrescimentoQdtVendas)</f>
        <v>18238.702324904902</v>
      </c>
      <c r="I15" s="13">
        <f>H15*(1+TaxaCrescimentoQdtVendas)</f>
        <v>20568.031193749455</v>
      </c>
      <c r="J15" s="13">
        <f>I15*(1+TaxaCrescimentoQdtVendas)</f>
        <v>23194.846850994727</v>
      </c>
      <c r="K15" s="13">
        <f>J15*(1+TaxaCrescimentoQdtVendas)</f>
        <v>26157.1423814544</v>
      </c>
      <c r="L15" s="13">
        <f>K15*(1+TaxaCrescimentoQdtVendas)</f>
        <v>29497.763100528329</v>
      </c>
      <c r="M15" s="13">
        <f>L15*(1+TaxaCrescimentoQdtVendas)</f>
        <v>33265.026249649141</v>
      </c>
      <c r="N15" s="13">
        <f>M15*(1+TaxaCrescimentoQdtVendas)</f>
        <v>37513.419835215471</v>
      </c>
      <c r="O15" s="13">
        <f>N15*(1+TaxaCrescimentoQdtVendas)</f>
        <v>42304.390718705065</v>
      </c>
      <c r="P15" s="13">
        <f>O15*(1+TaxaCrescimentoQdtVendas)</f>
        <v>47707.233356550089</v>
      </c>
      <c r="Q15" s="13">
        <f>P15*(1+TaxaCrescimentoQdtVendas)</f>
        <v>53800.092044110002</v>
      </c>
      <c r="R15" s="13">
        <f>Q15*(1+TaxaCrescimentoQdtVendas)</f>
        <v>60671.091159749834</v>
      </c>
      <c r="S15" s="13">
        <f>R15*(1+TaxaCrescimentoQdtVendas)</f>
        <v>68419.609756367805</v>
      </c>
      <c r="T15" s="13">
        <f>S15*(1+TaxaCrescimentoQdtVendas)</f>
        <v>77157.718935493147</v>
      </c>
      <c r="U15" s="13"/>
      <c r="V15" s="13">
        <f>SUM(G15:R15)</f>
        <v>409090.9090908877</v>
      </c>
    </row>
    <row r="16" spans="2:22" ht="15" thickBot="1" x14ac:dyDescent="0.35">
      <c r="B16" s="14" t="s">
        <v>11</v>
      </c>
      <c r="C16" s="15">
        <f>C14*C15</f>
        <v>855555.55555560067</v>
      </c>
      <c r="D16" s="15">
        <f>D14*D15</f>
        <v>964821.56686248747</v>
      </c>
      <c r="E16" s="15">
        <f>E14*E15</f>
        <v>1088042.3250579776</v>
      </c>
      <c r="F16" s="15">
        <f>F14*F15</f>
        <v>1227000.0399838674</v>
      </c>
      <c r="G16" s="15">
        <f t="shared" ref="G16:T16" si="1">G14*G15</f>
        <v>1383704.5337737098</v>
      </c>
      <c r="H16" s="15">
        <f t="shared" si="1"/>
        <v>1560422.3100197238</v>
      </c>
      <c r="I16" s="15">
        <f t="shared" si="1"/>
        <v>1759709.3354653239</v>
      </c>
      <c r="J16" s="15">
        <f t="shared" si="1"/>
        <v>1984448.0083629866</v>
      </c>
      <c r="K16" s="15">
        <f t="shared" si="1"/>
        <v>2237888.8481912166</v>
      </c>
      <c r="L16" s="15">
        <f t="shared" si="1"/>
        <v>2523697.5097120013</v>
      </c>
      <c r="M16" s="15">
        <f t="shared" si="1"/>
        <v>2846007.8013590211</v>
      </c>
      <c r="N16" s="15">
        <f t="shared" si="1"/>
        <v>3209481.474790826</v>
      </c>
      <c r="O16" s="15">
        <f t="shared" si="1"/>
        <v>3619375.6503782906</v>
      </c>
      <c r="P16" s="15">
        <f t="shared" si="1"/>
        <v>4081618.8538383893</v>
      </c>
      <c r="Q16" s="15">
        <f t="shared" si="1"/>
        <v>4602896.7637740979</v>
      </c>
      <c r="R16" s="15">
        <f t="shared" si="1"/>
        <v>5190748.910334426</v>
      </c>
      <c r="S16" s="15">
        <f t="shared" si="1"/>
        <v>5853677.7236006651</v>
      </c>
      <c r="T16" s="15">
        <f t="shared" si="1"/>
        <v>6601271.5089258729</v>
      </c>
      <c r="U16" s="15"/>
      <c r="V16" s="15">
        <f>V14*V15</f>
        <v>35000000.000000007</v>
      </c>
    </row>
    <row r="17" spans="2:22" ht="15" thickTop="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3">
        <f>SUM(G16:R16)</f>
        <v>35000000.000000007</v>
      </c>
    </row>
    <row r="18" spans="2:22" x14ac:dyDescent="0.3">
      <c r="U18" t="str">
        <f>IF($V$18=0,"","Existe um erro de validação!!!")</f>
        <v/>
      </c>
      <c r="V18">
        <f>ROUND(V17-V16,2)</f>
        <v>0</v>
      </c>
    </row>
    <row r="20" spans="2:22" x14ac:dyDescent="0.3">
      <c r="B20" s="37"/>
      <c r="C20" s="38"/>
      <c r="D20" s="38"/>
      <c r="E20" s="38"/>
      <c r="F20" s="38"/>
      <c r="G20" s="38"/>
    </row>
    <row r="21" spans="2:22" x14ac:dyDescent="0.3">
      <c r="B21" s="39"/>
      <c r="C21" s="40"/>
      <c r="D21" s="40"/>
      <c r="E21" s="40"/>
      <c r="F21" s="41"/>
      <c r="G21" s="40"/>
    </row>
    <row r="22" spans="2:22" x14ac:dyDescent="0.3">
      <c r="B22" s="42"/>
      <c r="C22" s="43"/>
      <c r="D22" s="43"/>
      <c r="E22" s="43"/>
      <c r="F22" s="44"/>
      <c r="G22" s="43"/>
    </row>
    <row r="23" spans="2:22" x14ac:dyDescent="0.3">
      <c r="B23" s="43"/>
      <c r="C23" s="43"/>
      <c r="D23" s="43"/>
      <c r="E23" s="43"/>
      <c r="F23" s="44"/>
      <c r="G23" s="43"/>
    </row>
    <row r="24" spans="2:22" x14ac:dyDescent="0.3">
      <c r="B24" s="44"/>
      <c r="C24" s="44"/>
      <c r="D24" s="44"/>
      <c r="E24" s="44"/>
      <c r="F24" s="45"/>
      <c r="G24" s="44"/>
    </row>
    <row r="25" spans="2:22" x14ac:dyDescent="0.3">
      <c r="B25" s="43"/>
      <c r="C25" s="43"/>
      <c r="D25" s="43"/>
      <c r="E25" s="43"/>
      <c r="F25" s="44"/>
      <c r="G25" s="43"/>
    </row>
    <row r="26" spans="2:22" x14ac:dyDescent="0.3">
      <c r="B26" s="43"/>
      <c r="C26" s="43"/>
      <c r="D26" s="43"/>
      <c r="E26" s="43"/>
      <c r="F26" s="44"/>
      <c r="G26" s="43"/>
    </row>
  </sheetData>
  <protectedRanges>
    <protectedRange sqref="C2" name="Intervalo2"/>
  </protectedRanges>
  <dataValidations count="1">
    <dataValidation type="list" allowBlank="1" showInputMessage="1" showErrorMessage="1" sqref="C2" xr:uid="{D470FB03-C92B-4BB4-A66F-9E0A0173288F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9439-165D-4898-A7B8-046CAEA996E5}">
  <dimension ref="A1:G1732"/>
  <sheetViews>
    <sheetView zoomScaleNormal="100" workbookViewId="0">
      <selection activeCell="F20" sqref="F20"/>
    </sheetView>
  </sheetViews>
  <sheetFormatPr defaultRowHeight="14.4" x14ac:dyDescent="0.3"/>
  <cols>
    <col min="1" max="1" width="8" bestFit="1" customWidth="1"/>
    <col min="2" max="2" width="11.21875" bestFit="1" customWidth="1"/>
    <col min="3" max="3" width="10.5546875" bestFit="1" customWidth="1"/>
    <col min="6" max="6" width="12.6640625" bestFit="1" customWidth="1"/>
    <col min="7" max="7" width="14.218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ht="15" thickBot="1" x14ac:dyDescent="0.35">
      <c r="A2">
        <v>1902</v>
      </c>
      <c r="B2" s="1" t="s">
        <v>3</v>
      </c>
      <c r="C2" s="2">
        <v>43269</v>
      </c>
      <c r="F2" s="3"/>
      <c r="G2" s="3" t="s">
        <v>5</v>
      </c>
    </row>
    <row r="3" spans="1:7" ht="15.6" thickTop="1" thickBot="1" x14ac:dyDescent="0.35">
      <c r="A3">
        <v>39407</v>
      </c>
      <c r="B3" s="1" t="s">
        <v>3</v>
      </c>
      <c r="C3" s="2">
        <v>43270</v>
      </c>
      <c r="F3" s="3" t="s">
        <v>3</v>
      </c>
      <c r="G3" s="4">
        <f>AVERAGEIFS(dados[Preço],dados[Categoria],PF)</f>
        <v>49552.588032220941</v>
      </c>
    </row>
    <row r="4" spans="1:7" ht="15.6" thickTop="1" thickBot="1" x14ac:dyDescent="0.35">
      <c r="A4">
        <v>17497</v>
      </c>
      <c r="B4" s="1" t="s">
        <v>3</v>
      </c>
      <c r="C4" s="2">
        <v>43283</v>
      </c>
      <c r="F4" s="3" t="s">
        <v>4</v>
      </c>
      <c r="G4" s="4">
        <f>AVERAGEIFS(dados[Preço],dados[Categoria],PJ)</f>
        <v>64851.916473317862</v>
      </c>
    </row>
    <row r="5" spans="1:7" ht="15.6" thickTop="1" thickBot="1" x14ac:dyDescent="0.35">
      <c r="A5">
        <v>20205</v>
      </c>
      <c r="B5" s="1" t="s">
        <v>3</v>
      </c>
      <c r="C5" s="2">
        <v>43283</v>
      </c>
      <c r="F5" s="3" t="s">
        <v>8</v>
      </c>
      <c r="G5" s="4">
        <f>AVERAGE(dados[Preço])</f>
        <v>57171.317735413053</v>
      </c>
    </row>
    <row r="6" spans="1:7" ht="15" thickTop="1" x14ac:dyDescent="0.3">
      <c r="A6">
        <v>3867</v>
      </c>
      <c r="B6" s="1" t="s">
        <v>3</v>
      </c>
      <c r="C6" s="2">
        <v>43283</v>
      </c>
    </row>
    <row r="7" spans="1:7" x14ac:dyDescent="0.3">
      <c r="A7">
        <v>44939</v>
      </c>
      <c r="B7" s="1" t="s">
        <v>3</v>
      </c>
      <c r="C7" s="2">
        <v>43266</v>
      </c>
    </row>
    <row r="8" spans="1:7" x14ac:dyDescent="0.3">
      <c r="A8">
        <v>40209</v>
      </c>
      <c r="B8" s="1" t="s">
        <v>3</v>
      </c>
      <c r="C8" s="2">
        <v>43283</v>
      </c>
    </row>
    <row r="9" spans="1:7" x14ac:dyDescent="0.3">
      <c r="A9">
        <v>36521</v>
      </c>
      <c r="B9" s="1" t="s">
        <v>3</v>
      </c>
      <c r="C9" s="2">
        <v>43266</v>
      </c>
      <c r="F9" s="8" t="s">
        <v>9</v>
      </c>
      <c r="G9" s="9">
        <f>MEDIAN(dados[[#All],[Preço]])</f>
        <v>58832</v>
      </c>
    </row>
    <row r="10" spans="1:7" x14ac:dyDescent="0.3">
      <c r="A10">
        <v>13562</v>
      </c>
      <c r="B10" s="1" t="s">
        <v>3</v>
      </c>
      <c r="C10" s="2">
        <v>43282</v>
      </c>
    </row>
    <row r="11" spans="1:7" x14ac:dyDescent="0.3">
      <c r="A11">
        <v>44502</v>
      </c>
      <c r="B11" s="1" t="s">
        <v>4</v>
      </c>
      <c r="C11" s="2">
        <v>43281</v>
      </c>
    </row>
    <row r="12" spans="1:7" x14ac:dyDescent="0.3">
      <c r="A12">
        <v>54817</v>
      </c>
      <c r="B12" s="1" t="s">
        <v>4</v>
      </c>
      <c r="C12" s="2">
        <v>43280</v>
      </c>
    </row>
    <row r="13" spans="1:7" x14ac:dyDescent="0.3">
      <c r="A13">
        <v>96053</v>
      </c>
      <c r="B13" s="1" t="s">
        <v>4</v>
      </c>
      <c r="C13" s="2">
        <v>43279</v>
      </c>
    </row>
    <row r="14" spans="1:7" ht="15" thickBot="1" x14ac:dyDescent="0.35">
      <c r="A14">
        <v>73931</v>
      </c>
      <c r="B14" s="1" t="s">
        <v>4</v>
      </c>
      <c r="C14" s="2">
        <v>43283</v>
      </c>
      <c r="F14" s="3"/>
      <c r="G14" s="5">
        <v>43282</v>
      </c>
    </row>
    <row r="15" spans="1:7" ht="15.6" thickTop="1" thickBot="1" x14ac:dyDescent="0.35">
      <c r="A15">
        <v>21151</v>
      </c>
      <c r="B15" s="1" t="s">
        <v>4</v>
      </c>
      <c r="C15" s="2">
        <v>43277</v>
      </c>
      <c r="F15" s="3" t="s">
        <v>6</v>
      </c>
      <c r="G15" s="4">
        <f>AVERAGEIFS(dados[Preço],dados[Data],"&gt;=" &amp; DataLancamentoUltimaVersao)</f>
        <v>45507.133333333331</v>
      </c>
    </row>
    <row r="16" spans="1:7" ht="15.6" thickTop="1" thickBot="1" x14ac:dyDescent="0.35">
      <c r="A16">
        <v>18202</v>
      </c>
      <c r="B16" s="1" t="s">
        <v>4</v>
      </c>
      <c r="C16" s="2">
        <v>43276</v>
      </c>
      <c r="F16" s="3" t="s">
        <v>7</v>
      </c>
      <c r="G16" s="4">
        <f>AVERAGEIFS(dados[Preço],dados[Data],"&lt;" &amp; DataLancamentoUltimaVersao)</f>
        <v>57273.277389277391</v>
      </c>
    </row>
    <row r="17" spans="1:3" ht="15" thickTop="1" x14ac:dyDescent="0.3">
      <c r="A17">
        <v>23682</v>
      </c>
      <c r="B17" s="1" t="s">
        <v>4</v>
      </c>
      <c r="C17" s="2">
        <v>43275</v>
      </c>
    </row>
    <row r="18" spans="1:3" x14ac:dyDescent="0.3">
      <c r="A18">
        <v>36594</v>
      </c>
      <c r="B18" s="1" t="s">
        <v>4</v>
      </c>
      <c r="C18" s="2">
        <v>43274</v>
      </c>
    </row>
    <row r="19" spans="1:3" x14ac:dyDescent="0.3">
      <c r="A19">
        <v>61984</v>
      </c>
      <c r="B19" s="1" t="s">
        <v>4</v>
      </c>
      <c r="C19" s="2">
        <v>43283</v>
      </c>
    </row>
    <row r="20" spans="1:3" x14ac:dyDescent="0.3">
      <c r="A20">
        <v>45182</v>
      </c>
      <c r="B20" s="1" t="s">
        <v>4</v>
      </c>
      <c r="C20" s="2">
        <v>43272</v>
      </c>
    </row>
    <row r="21" spans="1:3" x14ac:dyDescent="0.3">
      <c r="A21">
        <v>53675</v>
      </c>
      <c r="B21" s="1" t="s">
        <v>4</v>
      </c>
      <c r="C21" s="2">
        <v>43271</v>
      </c>
    </row>
    <row r="22" spans="1:3" x14ac:dyDescent="0.3">
      <c r="A22">
        <v>77434</v>
      </c>
      <c r="B22" s="1" t="s">
        <v>4</v>
      </c>
      <c r="C22" s="2">
        <v>43270</v>
      </c>
    </row>
    <row r="23" spans="1:3" x14ac:dyDescent="0.3">
      <c r="A23">
        <v>43020</v>
      </c>
      <c r="B23" s="1" t="s">
        <v>4</v>
      </c>
      <c r="C23" s="2">
        <v>43269</v>
      </c>
    </row>
    <row r="24" spans="1:3" x14ac:dyDescent="0.3">
      <c r="A24">
        <v>21916</v>
      </c>
      <c r="B24" s="1" t="s">
        <v>4</v>
      </c>
      <c r="C24" s="2">
        <v>43268</v>
      </c>
    </row>
    <row r="25" spans="1:3" x14ac:dyDescent="0.3">
      <c r="A25">
        <v>98945</v>
      </c>
      <c r="B25" s="1" t="s">
        <v>4</v>
      </c>
      <c r="C25" s="2">
        <v>43267</v>
      </c>
    </row>
    <row r="26" spans="1:3" x14ac:dyDescent="0.3">
      <c r="A26">
        <v>3125</v>
      </c>
      <c r="B26" s="1" t="s">
        <v>4</v>
      </c>
      <c r="C26" s="2">
        <v>43266</v>
      </c>
    </row>
    <row r="27" spans="1:3" x14ac:dyDescent="0.3">
      <c r="A27">
        <v>4032</v>
      </c>
      <c r="B27" s="1" t="s">
        <v>4</v>
      </c>
      <c r="C27" s="2">
        <v>43265</v>
      </c>
    </row>
    <row r="28" spans="1:3" x14ac:dyDescent="0.3">
      <c r="A28">
        <v>89875</v>
      </c>
      <c r="B28" s="1" t="s">
        <v>4</v>
      </c>
      <c r="C28" s="2">
        <v>43264</v>
      </c>
    </row>
    <row r="29" spans="1:3" x14ac:dyDescent="0.3">
      <c r="A29">
        <v>64301</v>
      </c>
      <c r="B29" s="1" t="s">
        <v>4</v>
      </c>
      <c r="C29" s="2">
        <v>43283</v>
      </c>
    </row>
    <row r="30" spans="1:3" x14ac:dyDescent="0.3">
      <c r="A30">
        <v>45651</v>
      </c>
      <c r="B30" s="1" t="s">
        <v>4</v>
      </c>
      <c r="C30" s="2">
        <v>43262</v>
      </c>
    </row>
    <row r="31" spans="1:3" x14ac:dyDescent="0.3">
      <c r="A31">
        <v>11702</v>
      </c>
      <c r="B31" s="1" t="s">
        <v>4</v>
      </c>
      <c r="C31" s="2">
        <v>43261</v>
      </c>
    </row>
    <row r="32" spans="1:3" x14ac:dyDescent="0.3">
      <c r="A32">
        <v>9246</v>
      </c>
      <c r="B32" s="1" t="s">
        <v>4</v>
      </c>
      <c r="C32" s="2">
        <v>43260</v>
      </c>
    </row>
    <row r="33" spans="1:3" x14ac:dyDescent="0.3">
      <c r="A33">
        <v>31410</v>
      </c>
      <c r="B33" s="1" t="s">
        <v>4</v>
      </c>
      <c r="C33" s="2">
        <v>43259</v>
      </c>
    </row>
    <row r="34" spans="1:3" x14ac:dyDescent="0.3">
      <c r="A34">
        <v>6689</v>
      </c>
      <c r="B34" s="1" t="s">
        <v>3</v>
      </c>
      <c r="C34" s="2">
        <v>43258</v>
      </c>
    </row>
    <row r="35" spans="1:3" x14ac:dyDescent="0.3">
      <c r="A35">
        <v>74459</v>
      </c>
      <c r="B35" s="1" t="s">
        <v>4</v>
      </c>
      <c r="C35" s="2">
        <v>43257</v>
      </c>
    </row>
    <row r="36" spans="1:3" x14ac:dyDescent="0.3">
      <c r="A36">
        <v>33015</v>
      </c>
      <c r="B36" s="1" t="s">
        <v>4</v>
      </c>
      <c r="C36" s="2">
        <v>43256</v>
      </c>
    </row>
    <row r="37" spans="1:3" x14ac:dyDescent="0.3">
      <c r="A37">
        <v>11686</v>
      </c>
      <c r="B37" s="1" t="s">
        <v>4</v>
      </c>
      <c r="C37" s="2">
        <v>43255</v>
      </c>
    </row>
    <row r="38" spans="1:3" x14ac:dyDescent="0.3">
      <c r="A38">
        <v>35298</v>
      </c>
      <c r="B38" s="1" t="s">
        <v>4</v>
      </c>
      <c r="C38" s="2">
        <v>43254</v>
      </c>
    </row>
    <row r="39" spans="1:3" x14ac:dyDescent="0.3">
      <c r="A39">
        <v>87182</v>
      </c>
      <c r="B39" s="1" t="s">
        <v>4</v>
      </c>
      <c r="C39" s="2">
        <v>43253</v>
      </c>
    </row>
    <row r="40" spans="1:3" x14ac:dyDescent="0.3">
      <c r="A40">
        <v>70343</v>
      </c>
      <c r="B40" s="1" t="s">
        <v>4</v>
      </c>
      <c r="C40" s="2">
        <v>43252</v>
      </c>
    </row>
    <row r="41" spans="1:3" x14ac:dyDescent="0.3">
      <c r="A41">
        <v>69780</v>
      </c>
      <c r="B41" s="1" t="s">
        <v>4</v>
      </c>
      <c r="C41" s="2">
        <v>43260</v>
      </c>
    </row>
    <row r="42" spans="1:3" x14ac:dyDescent="0.3">
      <c r="A42">
        <v>54150</v>
      </c>
      <c r="B42" s="1" t="s">
        <v>4</v>
      </c>
      <c r="C42" s="2">
        <v>43268</v>
      </c>
    </row>
    <row r="43" spans="1:3" x14ac:dyDescent="0.3">
      <c r="A43">
        <v>52013</v>
      </c>
      <c r="B43" s="1" t="s">
        <v>4</v>
      </c>
      <c r="C43" s="2">
        <v>43255</v>
      </c>
    </row>
    <row r="44" spans="1:3" x14ac:dyDescent="0.3">
      <c r="A44">
        <v>95052</v>
      </c>
      <c r="B44" s="1" t="s">
        <v>4</v>
      </c>
      <c r="C44" s="2">
        <v>43268</v>
      </c>
    </row>
    <row r="45" spans="1:3" x14ac:dyDescent="0.3">
      <c r="A45">
        <v>26287</v>
      </c>
      <c r="B45" s="1" t="s">
        <v>4</v>
      </c>
      <c r="C45" s="2">
        <v>43268</v>
      </c>
    </row>
    <row r="46" spans="1:3" x14ac:dyDescent="0.3">
      <c r="A46">
        <v>40324</v>
      </c>
      <c r="B46" s="1" t="s">
        <v>4</v>
      </c>
      <c r="C46" s="2">
        <v>43255</v>
      </c>
    </row>
    <row r="47" spans="1:3" x14ac:dyDescent="0.3">
      <c r="A47">
        <v>31409</v>
      </c>
      <c r="B47" s="1" t="s">
        <v>4</v>
      </c>
      <c r="C47" s="2">
        <v>43260</v>
      </c>
    </row>
    <row r="48" spans="1:3" x14ac:dyDescent="0.3">
      <c r="A48">
        <v>61196</v>
      </c>
      <c r="B48" s="1" t="s">
        <v>4</v>
      </c>
      <c r="C48" s="2">
        <v>43147</v>
      </c>
    </row>
    <row r="49" spans="1:3" x14ac:dyDescent="0.3">
      <c r="A49">
        <v>64421</v>
      </c>
      <c r="B49" s="1" t="s">
        <v>4</v>
      </c>
      <c r="C49" s="2">
        <v>43239</v>
      </c>
    </row>
    <row r="50" spans="1:3" x14ac:dyDescent="0.3">
      <c r="A50">
        <v>67159</v>
      </c>
      <c r="B50" s="1" t="s">
        <v>3</v>
      </c>
      <c r="C50" s="2">
        <v>43106</v>
      </c>
    </row>
    <row r="51" spans="1:3" x14ac:dyDescent="0.3">
      <c r="A51">
        <v>21985</v>
      </c>
      <c r="B51" s="1" t="s">
        <v>3</v>
      </c>
      <c r="C51" s="2">
        <v>43182</v>
      </c>
    </row>
    <row r="52" spans="1:3" x14ac:dyDescent="0.3">
      <c r="A52">
        <v>98525</v>
      </c>
      <c r="B52" s="1" t="s">
        <v>4</v>
      </c>
      <c r="C52" s="2">
        <v>43182</v>
      </c>
    </row>
    <row r="53" spans="1:3" x14ac:dyDescent="0.3">
      <c r="A53">
        <v>51775</v>
      </c>
      <c r="B53" s="1" t="s">
        <v>3</v>
      </c>
      <c r="C53" s="2">
        <v>43202</v>
      </c>
    </row>
    <row r="54" spans="1:3" x14ac:dyDescent="0.3">
      <c r="A54">
        <v>80144</v>
      </c>
      <c r="B54" s="1" t="s">
        <v>4</v>
      </c>
      <c r="C54" s="2">
        <v>43196</v>
      </c>
    </row>
    <row r="55" spans="1:3" x14ac:dyDescent="0.3">
      <c r="A55">
        <v>53921</v>
      </c>
      <c r="B55" s="1" t="s">
        <v>3</v>
      </c>
      <c r="C55" s="2">
        <v>43217</v>
      </c>
    </row>
    <row r="56" spans="1:3" x14ac:dyDescent="0.3">
      <c r="A56">
        <v>44801</v>
      </c>
      <c r="B56" s="1" t="s">
        <v>3</v>
      </c>
      <c r="C56" s="2">
        <v>43168</v>
      </c>
    </row>
    <row r="57" spans="1:3" x14ac:dyDescent="0.3">
      <c r="A57">
        <v>43877</v>
      </c>
      <c r="B57" s="1" t="s">
        <v>3</v>
      </c>
      <c r="C57" s="2">
        <v>43199</v>
      </c>
    </row>
    <row r="58" spans="1:3" x14ac:dyDescent="0.3">
      <c r="A58">
        <v>34069</v>
      </c>
      <c r="B58" s="1" t="s">
        <v>3</v>
      </c>
      <c r="C58" s="2">
        <v>43146</v>
      </c>
    </row>
    <row r="59" spans="1:3" x14ac:dyDescent="0.3">
      <c r="A59">
        <v>72586</v>
      </c>
      <c r="B59" s="1" t="s">
        <v>3</v>
      </c>
      <c r="C59" s="2">
        <v>43085</v>
      </c>
    </row>
    <row r="60" spans="1:3" x14ac:dyDescent="0.3">
      <c r="A60">
        <v>34473</v>
      </c>
      <c r="B60" s="1" t="s">
        <v>4</v>
      </c>
      <c r="C60" s="2">
        <v>43187</v>
      </c>
    </row>
    <row r="61" spans="1:3" x14ac:dyDescent="0.3">
      <c r="A61">
        <v>14439</v>
      </c>
      <c r="B61" s="1" t="s">
        <v>3</v>
      </c>
      <c r="C61" s="2">
        <v>43161</v>
      </c>
    </row>
    <row r="62" spans="1:3" x14ac:dyDescent="0.3">
      <c r="A62">
        <v>99743</v>
      </c>
      <c r="B62" s="1" t="s">
        <v>3</v>
      </c>
      <c r="C62" s="2">
        <v>43107</v>
      </c>
    </row>
    <row r="63" spans="1:3" x14ac:dyDescent="0.3">
      <c r="A63">
        <v>31334</v>
      </c>
      <c r="B63" s="1" t="s">
        <v>3</v>
      </c>
      <c r="C63" s="2">
        <v>43238</v>
      </c>
    </row>
    <row r="64" spans="1:3" x14ac:dyDescent="0.3">
      <c r="A64">
        <v>9032</v>
      </c>
      <c r="B64" s="1" t="s">
        <v>3</v>
      </c>
      <c r="C64" s="2">
        <v>43187</v>
      </c>
    </row>
    <row r="65" spans="1:3" x14ac:dyDescent="0.3">
      <c r="A65">
        <v>50957</v>
      </c>
      <c r="B65" s="1" t="s">
        <v>4</v>
      </c>
      <c r="C65" s="2">
        <v>43253</v>
      </c>
    </row>
    <row r="66" spans="1:3" x14ac:dyDescent="0.3">
      <c r="A66">
        <v>10281</v>
      </c>
      <c r="B66" s="1" t="s">
        <v>3</v>
      </c>
      <c r="C66" s="2">
        <v>43137</v>
      </c>
    </row>
    <row r="67" spans="1:3" x14ac:dyDescent="0.3">
      <c r="A67">
        <v>67376</v>
      </c>
      <c r="B67" s="1" t="s">
        <v>3</v>
      </c>
      <c r="C67" s="2">
        <v>43261</v>
      </c>
    </row>
    <row r="68" spans="1:3" x14ac:dyDescent="0.3">
      <c r="A68">
        <v>2483</v>
      </c>
      <c r="B68" s="1" t="s">
        <v>3</v>
      </c>
      <c r="C68" s="2">
        <v>43209</v>
      </c>
    </row>
    <row r="69" spans="1:3" x14ac:dyDescent="0.3">
      <c r="A69">
        <v>50528</v>
      </c>
      <c r="B69" s="1" t="s">
        <v>4</v>
      </c>
      <c r="C69" s="2">
        <v>43175</v>
      </c>
    </row>
    <row r="70" spans="1:3" x14ac:dyDescent="0.3">
      <c r="A70">
        <v>80405</v>
      </c>
      <c r="B70" s="1" t="s">
        <v>4</v>
      </c>
      <c r="C70" s="2">
        <v>43152</v>
      </c>
    </row>
    <row r="71" spans="1:3" x14ac:dyDescent="0.3">
      <c r="A71">
        <v>54685</v>
      </c>
      <c r="B71" s="1" t="s">
        <v>3</v>
      </c>
      <c r="C71" s="2">
        <v>43258</v>
      </c>
    </row>
    <row r="72" spans="1:3" x14ac:dyDescent="0.3">
      <c r="A72">
        <v>38916</v>
      </c>
      <c r="B72" s="1" t="s">
        <v>3</v>
      </c>
      <c r="C72" s="2">
        <v>43092</v>
      </c>
    </row>
    <row r="73" spans="1:3" x14ac:dyDescent="0.3">
      <c r="A73">
        <v>73342</v>
      </c>
      <c r="B73" s="1" t="s">
        <v>4</v>
      </c>
      <c r="C73" s="2">
        <v>43183</v>
      </c>
    </row>
    <row r="74" spans="1:3" x14ac:dyDescent="0.3">
      <c r="A74">
        <v>34778</v>
      </c>
      <c r="B74" s="1" t="s">
        <v>3</v>
      </c>
      <c r="C74" s="2">
        <v>43196</v>
      </c>
    </row>
    <row r="75" spans="1:3" x14ac:dyDescent="0.3">
      <c r="A75">
        <v>13679</v>
      </c>
      <c r="B75" s="1" t="s">
        <v>3</v>
      </c>
      <c r="C75" s="2">
        <v>43142</v>
      </c>
    </row>
    <row r="76" spans="1:3" x14ac:dyDescent="0.3">
      <c r="A76">
        <v>35595</v>
      </c>
      <c r="B76" s="1" t="s">
        <v>3</v>
      </c>
      <c r="C76" s="2">
        <v>43223</v>
      </c>
    </row>
    <row r="77" spans="1:3" x14ac:dyDescent="0.3">
      <c r="A77">
        <v>49832</v>
      </c>
      <c r="B77" s="1" t="s">
        <v>4</v>
      </c>
      <c r="C77" s="2">
        <v>43199</v>
      </c>
    </row>
    <row r="78" spans="1:3" x14ac:dyDescent="0.3">
      <c r="A78">
        <v>47769</v>
      </c>
      <c r="B78" s="1" t="s">
        <v>4</v>
      </c>
      <c r="C78" s="2">
        <v>43195</v>
      </c>
    </row>
    <row r="79" spans="1:3" x14ac:dyDescent="0.3">
      <c r="A79">
        <v>67079</v>
      </c>
      <c r="B79" s="1" t="s">
        <v>3</v>
      </c>
      <c r="C79" s="2">
        <v>43184</v>
      </c>
    </row>
    <row r="80" spans="1:3" x14ac:dyDescent="0.3">
      <c r="A80">
        <v>82282</v>
      </c>
      <c r="B80" s="1" t="s">
        <v>4</v>
      </c>
      <c r="C80" s="2">
        <v>43246</v>
      </c>
    </row>
    <row r="81" spans="1:3" x14ac:dyDescent="0.3">
      <c r="A81">
        <v>42727</v>
      </c>
      <c r="B81" s="1" t="s">
        <v>4</v>
      </c>
      <c r="C81" s="2">
        <v>43272</v>
      </c>
    </row>
    <row r="82" spans="1:3" x14ac:dyDescent="0.3">
      <c r="A82">
        <v>41877</v>
      </c>
      <c r="B82" s="1" t="s">
        <v>3</v>
      </c>
      <c r="C82" s="2">
        <v>43092</v>
      </c>
    </row>
    <row r="83" spans="1:3" x14ac:dyDescent="0.3">
      <c r="A83">
        <v>41775</v>
      </c>
      <c r="B83" s="1" t="s">
        <v>3</v>
      </c>
      <c r="C83" s="2">
        <v>43252</v>
      </c>
    </row>
    <row r="84" spans="1:3" x14ac:dyDescent="0.3">
      <c r="A84">
        <v>98873</v>
      </c>
      <c r="B84" s="1" t="s">
        <v>4</v>
      </c>
      <c r="C84" s="2">
        <v>43117</v>
      </c>
    </row>
    <row r="85" spans="1:3" x14ac:dyDescent="0.3">
      <c r="A85">
        <v>95203</v>
      </c>
      <c r="B85" s="1" t="s">
        <v>3</v>
      </c>
      <c r="C85" s="2">
        <v>43170</v>
      </c>
    </row>
    <row r="86" spans="1:3" x14ac:dyDescent="0.3">
      <c r="A86">
        <v>68087</v>
      </c>
      <c r="B86" s="1" t="s">
        <v>4</v>
      </c>
      <c r="C86" s="2">
        <v>43141</v>
      </c>
    </row>
    <row r="87" spans="1:3" x14ac:dyDescent="0.3">
      <c r="A87">
        <v>29979</v>
      </c>
      <c r="B87" s="1" t="s">
        <v>3</v>
      </c>
      <c r="C87" s="2">
        <v>43137</v>
      </c>
    </row>
    <row r="88" spans="1:3" x14ac:dyDescent="0.3">
      <c r="A88">
        <v>88353</v>
      </c>
      <c r="B88" s="1" t="s">
        <v>4</v>
      </c>
      <c r="C88" s="2">
        <v>43217</v>
      </c>
    </row>
    <row r="89" spans="1:3" x14ac:dyDescent="0.3">
      <c r="A89">
        <v>52213</v>
      </c>
      <c r="B89" s="1" t="s">
        <v>3</v>
      </c>
      <c r="C89" s="2">
        <v>43246</v>
      </c>
    </row>
    <row r="90" spans="1:3" x14ac:dyDescent="0.3">
      <c r="A90">
        <v>34321</v>
      </c>
      <c r="B90" s="1" t="s">
        <v>3</v>
      </c>
      <c r="C90" s="2">
        <v>43162</v>
      </c>
    </row>
    <row r="91" spans="1:3" x14ac:dyDescent="0.3">
      <c r="A91">
        <v>35424</v>
      </c>
      <c r="B91" s="1" t="s">
        <v>3</v>
      </c>
      <c r="C91" s="2">
        <v>43160</v>
      </c>
    </row>
    <row r="92" spans="1:3" x14ac:dyDescent="0.3">
      <c r="A92">
        <v>28558</v>
      </c>
      <c r="B92" s="1" t="s">
        <v>3</v>
      </c>
      <c r="C92" s="2">
        <v>43084</v>
      </c>
    </row>
    <row r="93" spans="1:3" x14ac:dyDescent="0.3">
      <c r="A93">
        <v>43050</v>
      </c>
      <c r="B93" s="1" t="s">
        <v>3</v>
      </c>
      <c r="C93" s="2">
        <v>43225</v>
      </c>
    </row>
    <row r="94" spans="1:3" x14ac:dyDescent="0.3">
      <c r="A94">
        <v>80073</v>
      </c>
      <c r="B94" s="1" t="s">
        <v>3</v>
      </c>
      <c r="C94" s="2">
        <v>43277</v>
      </c>
    </row>
    <row r="95" spans="1:3" x14ac:dyDescent="0.3">
      <c r="A95">
        <v>48984</v>
      </c>
      <c r="B95" s="1" t="s">
        <v>4</v>
      </c>
      <c r="C95" s="2">
        <v>43123</v>
      </c>
    </row>
    <row r="96" spans="1:3" x14ac:dyDescent="0.3">
      <c r="A96">
        <v>39393</v>
      </c>
      <c r="B96" s="1" t="s">
        <v>3</v>
      </c>
      <c r="C96" s="2">
        <v>43211</v>
      </c>
    </row>
    <row r="97" spans="1:3" x14ac:dyDescent="0.3">
      <c r="A97">
        <v>18727</v>
      </c>
      <c r="B97" s="1" t="s">
        <v>3</v>
      </c>
      <c r="C97" s="2">
        <v>43232</v>
      </c>
    </row>
    <row r="98" spans="1:3" x14ac:dyDescent="0.3">
      <c r="A98">
        <v>97558</v>
      </c>
      <c r="B98" s="1" t="s">
        <v>4</v>
      </c>
      <c r="C98" s="2">
        <v>43243</v>
      </c>
    </row>
    <row r="99" spans="1:3" x14ac:dyDescent="0.3">
      <c r="A99">
        <v>87344</v>
      </c>
      <c r="B99" s="1" t="s">
        <v>4</v>
      </c>
      <c r="C99" s="2">
        <v>43268</v>
      </c>
    </row>
    <row r="100" spans="1:3" x14ac:dyDescent="0.3">
      <c r="A100">
        <v>79182</v>
      </c>
      <c r="B100" s="1" t="s">
        <v>4</v>
      </c>
      <c r="C100" s="2">
        <v>43267</v>
      </c>
    </row>
    <row r="101" spans="1:3" x14ac:dyDescent="0.3">
      <c r="A101">
        <v>60092</v>
      </c>
      <c r="B101" s="1" t="s">
        <v>4</v>
      </c>
      <c r="C101" s="2">
        <v>43171</v>
      </c>
    </row>
    <row r="102" spans="1:3" x14ac:dyDescent="0.3">
      <c r="A102">
        <v>36746</v>
      </c>
      <c r="B102" s="1" t="s">
        <v>4</v>
      </c>
      <c r="C102" s="2">
        <v>43143</v>
      </c>
    </row>
    <row r="103" spans="1:3" x14ac:dyDescent="0.3">
      <c r="A103">
        <v>47155</v>
      </c>
      <c r="B103" s="1" t="s">
        <v>3</v>
      </c>
      <c r="C103" s="2">
        <v>43175</v>
      </c>
    </row>
    <row r="104" spans="1:3" x14ac:dyDescent="0.3">
      <c r="A104">
        <v>61477</v>
      </c>
      <c r="B104" s="1" t="s">
        <v>3</v>
      </c>
      <c r="C104" s="2">
        <v>43187</v>
      </c>
    </row>
    <row r="105" spans="1:3" x14ac:dyDescent="0.3">
      <c r="A105">
        <v>36585</v>
      </c>
      <c r="B105" s="1" t="s">
        <v>4</v>
      </c>
      <c r="C105" s="2">
        <v>43168</v>
      </c>
    </row>
    <row r="106" spans="1:3" x14ac:dyDescent="0.3">
      <c r="A106">
        <v>38347</v>
      </c>
      <c r="B106" s="1" t="s">
        <v>4</v>
      </c>
      <c r="C106" s="2">
        <v>43198</v>
      </c>
    </row>
    <row r="107" spans="1:3" x14ac:dyDescent="0.3">
      <c r="A107">
        <v>72324</v>
      </c>
      <c r="B107" s="1" t="s">
        <v>4</v>
      </c>
      <c r="C107" s="2">
        <v>43171</v>
      </c>
    </row>
    <row r="108" spans="1:3" x14ac:dyDescent="0.3">
      <c r="A108">
        <v>32140</v>
      </c>
      <c r="B108" s="1" t="s">
        <v>4</v>
      </c>
      <c r="C108" s="2">
        <v>43189</v>
      </c>
    </row>
    <row r="109" spans="1:3" x14ac:dyDescent="0.3">
      <c r="A109">
        <v>68709</v>
      </c>
      <c r="B109" s="1" t="s">
        <v>3</v>
      </c>
      <c r="C109" s="2">
        <v>43157</v>
      </c>
    </row>
    <row r="110" spans="1:3" x14ac:dyDescent="0.3">
      <c r="A110">
        <v>70855</v>
      </c>
      <c r="B110" s="1" t="s">
        <v>4</v>
      </c>
      <c r="C110" s="2">
        <v>43129</v>
      </c>
    </row>
    <row r="111" spans="1:3" x14ac:dyDescent="0.3">
      <c r="A111">
        <v>75774</v>
      </c>
      <c r="B111" s="1" t="s">
        <v>4</v>
      </c>
      <c r="C111" s="2">
        <v>43249</v>
      </c>
    </row>
    <row r="112" spans="1:3" x14ac:dyDescent="0.3">
      <c r="A112">
        <v>65573</v>
      </c>
      <c r="B112" s="1" t="s">
        <v>3</v>
      </c>
      <c r="C112" s="2">
        <v>43082</v>
      </c>
    </row>
    <row r="113" spans="1:3" x14ac:dyDescent="0.3">
      <c r="A113">
        <v>26786</v>
      </c>
      <c r="B113" s="1" t="s">
        <v>3</v>
      </c>
      <c r="C113" s="2">
        <v>43225</v>
      </c>
    </row>
    <row r="114" spans="1:3" x14ac:dyDescent="0.3">
      <c r="A114">
        <v>44846</v>
      </c>
      <c r="B114" s="1" t="s">
        <v>4</v>
      </c>
      <c r="C114" s="2">
        <v>43187</v>
      </c>
    </row>
    <row r="115" spans="1:3" x14ac:dyDescent="0.3">
      <c r="A115">
        <v>55937</v>
      </c>
      <c r="B115" s="1" t="s">
        <v>3</v>
      </c>
      <c r="C115" s="2">
        <v>43198</v>
      </c>
    </row>
    <row r="116" spans="1:3" x14ac:dyDescent="0.3">
      <c r="A116">
        <v>2580</v>
      </c>
      <c r="B116" s="1" t="s">
        <v>3</v>
      </c>
      <c r="C116" s="2">
        <v>43142</v>
      </c>
    </row>
    <row r="117" spans="1:3" x14ac:dyDescent="0.3">
      <c r="A117">
        <v>79096</v>
      </c>
      <c r="B117" s="1" t="s">
        <v>4</v>
      </c>
      <c r="C117" s="2">
        <v>43148</v>
      </c>
    </row>
    <row r="118" spans="1:3" x14ac:dyDescent="0.3">
      <c r="A118">
        <v>89853</v>
      </c>
      <c r="B118" s="1" t="s">
        <v>4</v>
      </c>
      <c r="C118" s="2">
        <v>43278</v>
      </c>
    </row>
    <row r="119" spans="1:3" x14ac:dyDescent="0.3">
      <c r="A119">
        <v>50960</v>
      </c>
      <c r="B119" s="1" t="s">
        <v>3</v>
      </c>
      <c r="C119" s="2">
        <v>43084</v>
      </c>
    </row>
    <row r="120" spans="1:3" x14ac:dyDescent="0.3">
      <c r="A120">
        <v>51055</v>
      </c>
      <c r="B120" s="1" t="s">
        <v>3</v>
      </c>
      <c r="C120" s="2">
        <v>43184</v>
      </c>
    </row>
    <row r="121" spans="1:3" x14ac:dyDescent="0.3">
      <c r="A121">
        <v>45272</v>
      </c>
      <c r="B121" s="1" t="s">
        <v>4</v>
      </c>
      <c r="C121" s="2">
        <v>43220</v>
      </c>
    </row>
    <row r="122" spans="1:3" x14ac:dyDescent="0.3">
      <c r="A122">
        <v>55571</v>
      </c>
      <c r="B122" s="1" t="s">
        <v>4</v>
      </c>
      <c r="C122" s="2">
        <v>43112</v>
      </c>
    </row>
    <row r="123" spans="1:3" x14ac:dyDescent="0.3">
      <c r="A123">
        <v>99260</v>
      </c>
      <c r="B123" s="1" t="s">
        <v>4</v>
      </c>
      <c r="C123" s="2">
        <v>43104</v>
      </c>
    </row>
    <row r="124" spans="1:3" x14ac:dyDescent="0.3">
      <c r="A124">
        <v>41622</v>
      </c>
      <c r="B124" s="1" t="s">
        <v>4</v>
      </c>
      <c r="C124" s="2">
        <v>43215</v>
      </c>
    </row>
    <row r="125" spans="1:3" x14ac:dyDescent="0.3">
      <c r="A125">
        <v>83364</v>
      </c>
      <c r="B125" s="1" t="s">
        <v>4</v>
      </c>
      <c r="C125" s="2">
        <v>43163</v>
      </c>
    </row>
    <row r="126" spans="1:3" x14ac:dyDescent="0.3">
      <c r="A126">
        <v>62351</v>
      </c>
      <c r="B126" s="1" t="s">
        <v>4</v>
      </c>
      <c r="C126" s="2">
        <v>43255</v>
      </c>
    </row>
    <row r="127" spans="1:3" x14ac:dyDescent="0.3">
      <c r="A127">
        <v>48248</v>
      </c>
      <c r="B127" s="1" t="s">
        <v>4</v>
      </c>
      <c r="C127" s="2">
        <v>43187</v>
      </c>
    </row>
    <row r="128" spans="1:3" x14ac:dyDescent="0.3">
      <c r="A128">
        <v>90421</v>
      </c>
      <c r="B128" s="1" t="s">
        <v>3</v>
      </c>
      <c r="C128" s="2">
        <v>43125</v>
      </c>
    </row>
    <row r="129" spans="1:3" x14ac:dyDescent="0.3">
      <c r="A129">
        <v>54955</v>
      </c>
      <c r="B129" s="1" t="s">
        <v>4</v>
      </c>
      <c r="C129" s="2">
        <v>43236</v>
      </c>
    </row>
    <row r="130" spans="1:3" x14ac:dyDescent="0.3">
      <c r="A130">
        <v>9202</v>
      </c>
      <c r="B130" s="1" t="s">
        <v>3</v>
      </c>
      <c r="C130" s="2">
        <v>43264</v>
      </c>
    </row>
    <row r="131" spans="1:3" x14ac:dyDescent="0.3">
      <c r="A131">
        <v>32144</v>
      </c>
      <c r="B131" s="1" t="s">
        <v>4</v>
      </c>
      <c r="C131" s="2">
        <v>43115</v>
      </c>
    </row>
    <row r="132" spans="1:3" x14ac:dyDescent="0.3">
      <c r="A132">
        <v>70202</v>
      </c>
      <c r="B132" s="1" t="s">
        <v>4</v>
      </c>
      <c r="C132" s="2">
        <v>43122</v>
      </c>
    </row>
    <row r="133" spans="1:3" x14ac:dyDescent="0.3">
      <c r="A133">
        <v>7138</v>
      </c>
      <c r="B133" s="1" t="s">
        <v>3</v>
      </c>
      <c r="C133" s="2">
        <v>43125</v>
      </c>
    </row>
    <row r="134" spans="1:3" x14ac:dyDescent="0.3">
      <c r="A134">
        <v>5218</v>
      </c>
      <c r="B134" s="1" t="s">
        <v>3</v>
      </c>
      <c r="C134" s="2">
        <v>43266</v>
      </c>
    </row>
    <row r="135" spans="1:3" x14ac:dyDescent="0.3">
      <c r="A135">
        <v>54842</v>
      </c>
      <c r="B135" s="1" t="s">
        <v>4</v>
      </c>
      <c r="C135" s="2">
        <v>43150</v>
      </c>
    </row>
    <row r="136" spans="1:3" x14ac:dyDescent="0.3">
      <c r="A136">
        <v>64481</v>
      </c>
      <c r="B136" s="1" t="s">
        <v>4</v>
      </c>
      <c r="C136" s="2">
        <v>43171</v>
      </c>
    </row>
    <row r="137" spans="1:3" x14ac:dyDescent="0.3">
      <c r="A137">
        <v>27234</v>
      </c>
      <c r="B137" s="1" t="s">
        <v>3</v>
      </c>
      <c r="C137" s="2">
        <v>43157</v>
      </c>
    </row>
    <row r="138" spans="1:3" x14ac:dyDescent="0.3">
      <c r="A138">
        <v>66980</v>
      </c>
      <c r="B138" s="1" t="s">
        <v>3</v>
      </c>
      <c r="C138" s="2">
        <v>43091</v>
      </c>
    </row>
    <row r="139" spans="1:3" x14ac:dyDescent="0.3">
      <c r="A139">
        <v>75226</v>
      </c>
      <c r="B139" s="1" t="s">
        <v>4</v>
      </c>
      <c r="C139" s="2">
        <v>43168</v>
      </c>
    </row>
    <row r="140" spans="1:3" x14ac:dyDescent="0.3">
      <c r="A140">
        <v>86679</v>
      </c>
      <c r="B140" s="1" t="s">
        <v>4</v>
      </c>
      <c r="C140" s="2">
        <v>43124</v>
      </c>
    </row>
    <row r="141" spans="1:3" x14ac:dyDescent="0.3">
      <c r="A141">
        <v>68722</v>
      </c>
      <c r="B141" s="1" t="s">
        <v>4</v>
      </c>
      <c r="C141" s="2">
        <v>43126</v>
      </c>
    </row>
    <row r="142" spans="1:3" x14ac:dyDescent="0.3">
      <c r="A142">
        <v>76146</v>
      </c>
      <c r="B142" s="1" t="s">
        <v>3</v>
      </c>
      <c r="C142" s="2">
        <v>43235</v>
      </c>
    </row>
    <row r="143" spans="1:3" x14ac:dyDescent="0.3">
      <c r="A143">
        <v>91441</v>
      </c>
      <c r="B143" s="1" t="s">
        <v>4</v>
      </c>
      <c r="C143" s="2">
        <v>43270</v>
      </c>
    </row>
    <row r="144" spans="1:3" x14ac:dyDescent="0.3">
      <c r="A144">
        <v>23758</v>
      </c>
      <c r="B144" s="1" t="s">
        <v>3</v>
      </c>
      <c r="C144" s="2">
        <v>43156</v>
      </c>
    </row>
    <row r="145" spans="1:3" x14ac:dyDescent="0.3">
      <c r="A145">
        <v>54286</v>
      </c>
      <c r="B145" s="1" t="s">
        <v>3</v>
      </c>
      <c r="C145" s="2">
        <v>43096</v>
      </c>
    </row>
    <row r="146" spans="1:3" x14ac:dyDescent="0.3">
      <c r="A146">
        <v>15983</v>
      </c>
      <c r="B146" s="1" t="s">
        <v>3</v>
      </c>
      <c r="C146" s="2">
        <v>43271</v>
      </c>
    </row>
    <row r="147" spans="1:3" x14ac:dyDescent="0.3">
      <c r="A147">
        <v>63692</v>
      </c>
      <c r="B147" s="1" t="s">
        <v>4</v>
      </c>
      <c r="C147" s="2">
        <v>43276</v>
      </c>
    </row>
    <row r="148" spans="1:3" x14ac:dyDescent="0.3">
      <c r="A148">
        <v>81862</v>
      </c>
      <c r="B148" s="1" t="s">
        <v>3</v>
      </c>
      <c r="C148" s="2">
        <v>43237</v>
      </c>
    </row>
    <row r="149" spans="1:3" x14ac:dyDescent="0.3">
      <c r="A149">
        <v>43965</v>
      </c>
      <c r="B149" s="1" t="s">
        <v>3</v>
      </c>
      <c r="C149" s="2">
        <v>43234</v>
      </c>
    </row>
    <row r="150" spans="1:3" x14ac:dyDescent="0.3">
      <c r="A150">
        <v>82548</v>
      </c>
      <c r="B150" s="1" t="s">
        <v>3</v>
      </c>
      <c r="C150" s="2">
        <v>43158</v>
      </c>
    </row>
    <row r="151" spans="1:3" x14ac:dyDescent="0.3">
      <c r="A151">
        <v>10412</v>
      </c>
      <c r="B151" s="1" t="s">
        <v>3</v>
      </c>
      <c r="C151" s="2">
        <v>43250</v>
      </c>
    </row>
    <row r="152" spans="1:3" x14ac:dyDescent="0.3">
      <c r="A152">
        <v>94620</v>
      </c>
      <c r="B152" s="1" t="s">
        <v>4</v>
      </c>
      <c r="C152" s="2">
        <v>43190</v>
      </c>
    </row>
    <row r="153" spans="1:3" x14ac:dyDescent="0.3">
      <c r="A153">
        <v>50869</v>
      </c>
      <c r="B153" s="1" t="s">
        <v>3</v>
      </c>
      <c r="C153" s="2">
        <v>43260</v>
      </c>
    </row>
    <row r="154" spans="1:3" x14ac:dyDescent="0.3">
      <c r="A154">
        <v>28792</v>
      </c>
      <c r="B154" s="1" t="s">
        <v>3</v>
      </c>
      <c r="C154" s="2">
        <v>43149</v>
      </c>
    </row>
    <row r="155" spans="1:3" x14ac:dyDescent="0.3">
      <c r="A155">
        <v>42939</v>
      </c>
      <c r="B155" s="1" t="s">
        <v>4</v>
      </c>
      <c r="C155" s="2">
        <v>43157</v>
      </c>
    </row>
    <row r="156" spans="1:3" x14ac:dyDescent="0.3">
      <c r="A156">
        <v>68566</v>
      </c>
      <c r="B156" s="1" t="s">
        <v>4</v>
      </c>
      <c r="C156" s="2">
        <v>43263</v>
      </c>
    </row>
    <row r="157" spans="1:3" x14ac:dyDescent="0.3">
      <c r="A157">
        <v>7713</v>
      </c>
      <c r="B157" s="1" t="s">
        <v>3</v>
      </c>
      <c r="C157" s="2">
        <v>43233</v>
      </c>
    </row>
    <row r="158" spans="1:3" x14ac:dyDescent="0.3">
      <c r="A158">
        <v>54256</v>
      </c>
      <c r="B158" s="1" t="s">
        <v>3</v>
      </c>
      <c r="C158" s="2">
        <v>43111</v>
      </c>
    </row>
    <row r="159" spans="1:3" x14ac:dyDescent="0.3">
      <c r="A159">
        <v>97958</v>
      </c>
      <c r="B159" s="1" t="s">
        <v>3</v>
      </c>
      <c r="C159" s="2">
        <v>43104</v>
      </c>
    </row>
    <row r="160" spans="1:3" x14ac:dyDescent="0.3">
      <c r="A160">
        <v>46677</v>
      </c>
      <c r="B160" s="1" t="s">
        <v>3</v>
      </c>
      <c r="C160" s="2">
        <v>43163</v>
      </c>
    </row>
    <row r="161" spans="1:3" x14ac:dyDescent="0.3">
      <c r="A161">
        <v>41062</v>
      </c>
      <c r="B161" s="1" t="s">
        <v>3</v>
      </c>
      <c r="C161" s="2">
        <v>43230</v>
      </c>
    </row>
    <row r="162" spans="1:3" x14ac:dyDescent="0.3">
      <c r="A162">
        <v>53447</v>
      </c>
      <c r="B162" s="1" t="s">
        <v>4</v>
      </c>
      <c r="C162" s="2">
        <v>43097</v>
      </c>
    </row>
    <row r="163" spans="1:3" x14ac:dyDescent="0.3">
      <c r="A163">
        <v>44856</v>
      </c>
      <c r="B163" s="1" t="s">
        <v>3</v>
      </c>
      <c r="C163" s="2">
        <v>43218</v>
      </c>
    </row>
    <row r="164" spans="1:3" x14ac:dyDescent="0.3">
      <c r="A164">
        <v>83837</v>
      </c>
      <c r="B164" s="1" t="s">
        <v>3</v>
      </c>
      <c r="C164" s="2">
        <v>43097</v>
      </c>
    </row>
    <row r="165" spans="1:3" x14ac:dyDescent="0.3">
      <c r="A165">
        <v>84554</v>
      </c>
      <c r="B165" s="1" t="s">
        <v>3</v>
      </c>
      <c r="C165" s="2">
        <v>43086</v>
      </c>
    </row>
    <row r="166" spans="1:3" x14ac:dyDescent="0.3">
      <c r="A166">
        <v>50138</v>
      </c>
      <c r="B166" s="1" t="s">
        <v>4</v>
      </c>
      <c r="C166" s="2">
        <v>43265</v>
      </c>
    </row>
    <row r="167" spans="1:3" x14ac:dyDescent="0.3">
      <c r="A167">
        <v>43515</v>
      </c>
      <c r="B167" s="1" t="s">
        <v>4</v>
      </c>
      <c r="C167" s="2">
        <v>43135</v>
      </c>
    </row>
    <row r="168" spans="1:3" x14ac:dyDescent="0.3">
      <c r="A168">
        <v>44545</v>
      </c>
      <c r="B168" s="1" t="s">
        <v>4</v>
      </c>
      <c r="C168" s="2">
        <v>43140</v>
      </c>
    </row>
    <row r="169" spans="1:3" x14ac:dyDescent="0.3">
      <c r="A169">
        <v>97852</v>
      </c>
      <c r="B169" s="1" t="s">
        <v>4</v>
      </c>
      <c r="C169" s="2">
        <v>43260</v>
      </c>
    </row>
    <row r="170" spans="1:3" x14ac:dyDescent="0.3">
      <c r="A170">
        <v>63611</v>
      </c>
      <c r="B170" s="1" t="s">
        <v>3</v>
      </c>
      <c r="C170" s="2">
        <v>43282</v>
      </c>
    </row>
    <row r="171" spans="1:3" x14ac:dyDescent="0.3">
      <c r="A171">
        <v>11114</v>
      </c>
      <c r="B171" s="1" t="s">
        <v>3</v>
      </c>
      <c r="C171" s="2">
        <v>43217</v>
      </c>
    </row>
    <row r="172" spans="1:3" x14ac:dyDescent="0.3">
      <c r="A172">
        <v>99552</v>
      </c>
      <c r="B172" s="1" t="s">
        <v>4</v>
      </c>
      <c r="C172" s="2">
        <v>43202</v>
      </c>
    </row>
    <row r="173" spans="1:3" x14ac:dyDescent="0.3">
      <c r="A173">
        <v>82860</v>
      </c>
      <c r="B173" s="1" t="s">
        <v>4</v>
      </c>
      <c r="C173" s="2">
        <v>43115</v>
      </c>
    </row>
    <row r="174" spans="1:3" x14ac:dyDescent="0.3">
      <c r="A174">
        <v>36672</v>
      </c>
      <c r="B174" s="1" t="s">
        <v>3</v>
      </c>
      <c r="C174" s="2">
        <v>43217</v>
      </c>
    </row>
    <row r="175" spans="1:3" x14ac:dyDescent="0.3">
      <c r="A175">
        <v>74171</v>
      </c>
      <c r="B175" s="1" t="s">
        <v>3</v>
      </c>
      <c r="C175" s="2">
        <v>43163</v>
      </c>
    </row>
    <row r="176" spans="1:3" x14ac:dyDescent="0.3">
      <c r="A176">
        <v>42977</v>
      </c>
      <c r="B176" s="1" t="s">
        <v>4</v>
      </c>
      <c r="C176" s="2">
        <v>43145</v>
      </c>
    </row>
    <row r="177" spans="1:3" x14ac:dyDescent="0.3">
      <c r="A177">
        <v>70601</v>
      </c>
      <c r="B177" s="1" t="s">
        <v>4</v>
      </c>
      <c r="C177" s="2">
        <v>43271</v>
      </c>
    </row>
    <row r="178" spans="1:3" x14ac:dyDescent="0.3">
      <c r="A178">
        <v>70763</v>
      </c>
      <c r="B178" s="1" t="s">
        <v>3</v>
      </c>
      <c r="C178" s="2">
        <v>43209</v>
      </c>
    </row>
    <row r="179" spans="1:3" x14ac:dyDescent="0.3">
      <c r="A179">
        <v>78090</v>
      </c>
      <c r="B179" s="1" t="s">
        <v>4</v>
      </c>
      <c r="C179" s="2">
        <v>43187</v>
      </c>
    </row>
    <row r="180" spans="1:3" x14ac:dyDescent="0.3">
      <c r="A180">
        <v>18843</v>
      </c>
      <c r="B180" s="1" t="s">
        <v>3</v>
      </c>
      <c r="C180" s="2">
        <v>43184</v>
      </c>
    </row>
    <row r="181" spans="1:3" x14ac:dyDescent="0.3">
      <c r="A181">
        <v>50457</v>
      </c>
      <c r="B181" s="1" t="s">
        <v>3</v>
      </c>
      <c r="C181" s="2">
        <v>43171</v>
      </c>
    </row>
    <row r="182" spans="1:3" x14ac:dyDescent="0.3">
      <c r="A182">
        <v>90787</v>
      </c>
      <c r="B182" s="1" t="s">
        <v>3</v>
      </c>
      <c r="C182" s="2">
        <v>43270</v>
      </c>
    </row>
    <row r="183" spans="1:3" x14ac:dyDescent="0.3">
      <c r="A183">
        <v>21013</v>
      </c>
      <c r="B183" s="1" t="s">
        <v>3</v>
      </c>
      <c r="C183" s="2">
        <v>43105</v>
      </c>
    </row>
    <row r="184" spans="1:3" x14ac:dyDescent="0.3">
      <c r="A184">
        <v>78521</v>
      </c>
      <c r="B184" s="1" t="s">
        <v>3</v>
      </c>
      <c r="C184" s="2">
        <v>43092</v>
      </c>
    </row>
    <row r="185" spans="1:3" x14ac:dyDescent="0.3">
      <c r="A185">
        <v>63020</v>
      </c>
      <c r="B185" s="1" t="s">
        <v>4</v>
      </c>
      <c r="C185" s="2">
        <v>43206</v>
      </c>
    </row>
    <row r="186" spans="1:3" x14ac:dyDescent="0.3">
      <c r="A186">
        <v>30211</v>
      </c>
      <c r="B186" s="1" t="s">
        <v>4</v>
      </c>
      <c r="C186" s="2">
        <v>43093</v>
      </c>
    </row>
    <row r="187" spans="1:3" x14ac:dyDescent="0.3">
      <c r="A187">
        <v>88104</v>
      </c>
      <c r="B187" s="1" t="s">
        <v>4</v>
      </c>
      <c r="C187" s="2">
        <v>43181</v>
      </c>
    </row>
    <row r="188" spans="1:3" x14ac:dyDescent="0.3">
      <c r="A188">
        <v>3540</v>
      </c>
      <c r="B188" s="1" t="s">
        <v>3</v>
      </c>
      <c r="C188" s="2">
        <v>43190</v>
      </c>
    </row>
    <row r="189" spans="1:3" x14ac:dyDescent="0.3">
      <c r="A189">
        <v>31660</v>
      </c>
      <c r="B189" s="1" t="s">
        <v>3</v>
      </c>
      <c r="C189" s="2">
        <v>43234</v>
      </c>
    </row>
    <row r="190" spans="1:3" x14ac:dyDescent="0.3">
      <c r="A190">
        <v>55164</v>
      </c>
      <c r="B190" s="1" t="s">
        <v>3</v>
      </c>
      <c r="C190" s="2">
        <v>43177</v>
      </c>
    </row>
    <row r="191" spans="1:3" x14ac:dyDescent="0.3">
      <c r="A191">
        <v>89312</v>
      </c>
      <c r="B191" s="1" t="s">
        <v>3</v>
      </c>
      <c r="C191" s="2">
        <v>43178</v>
      </c>
    </row>
    <row r="192" spans="1:3" x14ac:dyDescent="0.3">
      <c r="A192">
        <v>87184</v>
      </c>
      <c r="B192" s="1" t="s">
        <v>3</v>
      </c>
      <c r="C192" s="2">
        <v>43264</v>
      </c>
    </row>
    <row r="193" spans="1:3" x14ac:dyDescent="0.3">
      <c r="A193">
        <v>76709</v>
      </c>
      <c r="B193" s="1" t="s">
        <v>4</v>
      </c>
      <c r="C193" s="2">
        <v>43277</v>
      </c>
    </row>
    <row r="194" spans="1:3" x14ac:dyDescent="0.3">
      <c r="A194">
        <v>47130</v>
      </c>
      <c r="B194" s="1" t="s">
        <v>4</v>
      </c>
      <c r="C194" s="2">
        <v>43149</v>
      </c>
    </row>
    <row r="195" spans="1:3" x14ac:dyDescent="0.3">
      <c r="A195">
        <v>56862</v>
      </c>
      <c r="B195" s="1" t="s">
        <v>4</v>
      </c>
      <c r="C195" s="2">
        <v>43184</v>
      </c>
    </row>
    <row r="196" spans="1:3" x14ac:dyDescent="0.3">
      <c r="A196">
        <v>50113</v>
      </c>
      <c r="B196" s="1" t="s">
        <v>3</v>
      </c>
      <c r="C196" s="2">
        <v>43176</v>
      </c>
    </row>
    <row r="197" spans="1:3" x14ac:dyDescent="0.3">
      <c r="A197">
        <v>62770</v>
      </c>
      <c r="B197" s="1" t="s">
        <v>4</v>
      </c>
      <c r="C197" s="2">
        <v>43101</v>
      </c>
    </row>
    <row r="198" spans="1:3" x14ac:dyDescent="0.3">
      <c r="A198">
        <v>16054</v>
      </c>
      <c r="B198" s="1" t="s">
        <v>3</v>
      </c>
      <c r="C198" s="2">
        <v>43211</v>
      </c>
    </row>
    <row r="199" spans="1:3" x14ac:dyDescent="0.3">
      <c r="A199">
        <v>61537</v>
      </c>
      <c r="B199" s="1" t="s">
        <v>4</v>
      </c>
      <c r="C199" s="2">
        <v>43121</v>
      </c>
    </row>
    <row r="200" spans="1:3" x14ac:dyDescent="0.3">
      <c r="A200">
        <v>33412</v>
      </c>
      <c r="B200" s="1" t="s">
        <v>4</v>
      </c>
      <c r="C200" s="2">
        <v>43111</v>
      </c>
    </row>
    <row r="201" spans="1:3" x14ac:dyDescent="0.3">
      <c r="A201">
        <v>96391</v>
      </c>
      <c r="B201" s="1" t="s">
        <v>4</v>
      </c>
      <c r="C201" s="2">
        <v>43235</v>
      </c>
    </row>
    <row r="202" spans="1:3" x14ac:dyDescent="0.3">
      <c r="A202">
        <v>27515</v>
      </c>
      <c r="B202" s="1" t="s">
        <v>3</v>
      </c>
      <c r="C202" s="2">
        <v>43101</v>
      </c>
    </row>
    <row r="203" spans="1:3" x14ac:dyDescent="0.3">
      <c r="A203">
        <v>90507</v>
      </c>
      <c r="B203" s="1" t="s">
        <v>3</v>
      </c>
      <c r="C203" s="2">
        <v>43223</v>
      </c>
    </row>
    <row r="204" spans="1:3" x14ac:dyDescent="0.3">
      <c r="A204">
        <v>34147</v>
      </c>
      <c r="B204" s="1" t="s">
        <v>4</v>
      </c>
      <c r="C204" s="2">
        <v>43198</v>
      </c>
    </row>
    <row r="205" spans="1:3" x14ac:dyDescent="0.3">
      <c r="A205">
        <v>18154</v>
      </c>
      <c r="B205" s="1" t="s">
        <v>3</v>
      </c>
      <c r="C205" s="2">
        <v>43112</v>
      </c>
    </row>
    <row r="206" spans="1:3" x14ac:dyDescent="0.3">
      <c r="A206">
        <v>37038</v>
      </c>
      <c r="B206" s="1" t="s">
        <v>4</v>
      </c>
      <c r="C206" s="2">
        <v>43179</v>
      </c>
    </row>
    <row r="207" spans="1:3" x14ac:dyDescent="0.3">
      <c r="A207">
        <v>96158</v>
      </c>
      <c r="B207" s="1" t="s">
        <v>3</v>
      </c>
      <c r="C207" s="2">
        <v>43224</v>
      </c>
    </row>
    <row r="208" spans="1:3" x14ac:dyDescent="0.3">
      <c r="A208">
        <v>56404</v>
      </c>
      <c r="B208" s="1" t="s">
        <v>4</v>
      </c>
      <c r="C208" s="2">
        <v>43094</v>
      </c>
    </row>
    <row r="209" spans="1:3" x14ac:dyDescent="0.3">
      <c r="A209">
        <v>59423</v>
      </c>
      <c r="B209" s="1" t="s">
        <v>4</v>
      </c>
      <c r="C209" s="2">
        <v>43266</v>
      </c>
    </row>
    <row r="210" spans="1:3" x14ac:dyDescent="0.3">
      <c r="A210">
        <v>94479</v>
      </c>
      <c r="B210" s="1" t="s">
        <v>4</v>
      </c>
      <c r="C210" s="2">
        <v>43180</v>
      </c>
    </row>
    <row r="211" spans="1:3" x14ac:dyDescent="0.3">
      <c r="A211">
        <v>31508</v>
      </c>
      <c r="B211" s="1" t="s">
        <v>4</v>
      </c>
      <c r="C211" s="2">
        <v>43274</v>
      </c>
    </row>
    <row r="212" spans="1:3" x14ac:dyDescent="0.3">
      <c r="A212">
        <v>76564</v>
      </c>
      <c r="B212" s="1" t="s">
        <v>4</v>
      </c>
      <c r="C212" s="2">
        <v>43272</v>
      </c>
    </row>
    <row r="213" spans="1:3" x14ac:dyDescent="0.3">
      <c r="A213">
        <v>16167</v>
      </c>
      <c r="B213" s="1" t="s">
        <v>3</v>
      </c>
      <c r="C213" s="2">
        <v>43239</v>
      </c>
    </row>
    <row r="214" spans="1:3" x14ac:dyDescent="0.3">
      <c r="A214">
        <v>39443</v>
      </c>
      <c r="B214" s="1" t="s">
        <v>4</v>
      </c>
      <c r="C214" s="2">
        <v>43264</v>
      </c>
    </row>
    <row r="215" spans="1:3" x14ac:dyDescent="0.3">
      <c r="A215">
        <v>35905</v>
      </c>
      <c r="B215" s="1" t="s">
        <v>3</v>
      </c>
      <c r="C215" s="2">
        <v>43197</v>
      </c>
    </row>
    <row r="216" spans="1:3" x14ac:dyDescent="0.3">
      <c r="A216">
        <v>20973</v>
      </c>
      <c r="B216" s="1" t="s">
        <v>3</v>
      </c>
      <c r="C216" s="2">
        <v>43154</v>
      </c>
    </row>
    <row r="217" spans="1:3" x14ac:dyDescent="0.3">
      <c r="A217">
        <v>47768</v>
      </c>
      <c r="B217" s="1" t="s">
        <v>4</v>
      </c>
      <c r="C217" s="2">
        <v>43196</v>
      </c>
    </row>
    <row r="218" spans="1:3" x14ac:dyDescent="0.3">
      <c r="A218">
        <v>92491</v>
      </c>
      <c r="B218" s="1" t="s">
        <v>3</v>
      </c>
      <c r="C218" s="2">
        <v>43253</v>
      </c>
    </row>
    <row r="219" spans="1:3" x14ac:dyDescent="0.3">
      <c r="A219">
        <v>14584</v>
      </c>
      <c r="B219" s="1" t="s">
        <v>3</v>
      </c>
      <c r="C219" s="2">
        <v>43132</v>
      </c>
    </row>
    <row r="220" spans="1:3" x14ac:dyDescent="0.3">
      <c r="A220">
        <v>80278</v>
      </c>
      <c r="B220" s="1" t="s">
        <v>3</v>
      </c>
      <c r="C220" s="2">
        <v>43218</v>
      </c>
    </row>
    <row r="221" spans="1:3" x14ac:dyDescent="0.3">
      <c r="A221">
        <v>85031</v>
      </c>
      <c r="B221" s="1" t="s">
        <v>4</v>
      </c>
      <c r="C221" s="2">
        <v>43216</v>
      </c>
    </row>
    <row r="222" spans="1:3" x14ac:dyDescent="0.3">
      <c r="A222">
        <v>67282</v>
      </c>
      <c r="B222" s="1" t="s">
        <v>4</v>
      </c>
      <c r="C222" s="2">
        <v>43198</v>
      </c>
    </row>
    <row r="223" spans="1:3" x14ac:dyDescent="0.3">
      <c r="A223">
        <v>23897</v>
      </c>
      <c r="B223" s="1" t="s">
        <v>3</v>
      </c>
      <c r="C223" s="2">
        <v>43114</v>
      </c>
    </row>
    <row r="224" spans="1:3" x14ac:dyDescent="0.3">
      <c r="A224">
        <v>80499</v>
      </c>
      <c r="B224" s="1" t="s">
        <v>4</v>
      </c>
      <c r="C224" s="2">
        <v>43248</v>
      </c>
    </row>
    <row r="225" spans="1:3" x14ac:dyDescent="0.3">
      <c r="A225">
        <v>78161</v>
      </c>
      <c r="B225" s="1" t="s">
        <v>3</v>
      </c>
      <c r="C225" s="2">
        <v>43173</v>
      </c>
    </row>
    <row r="226" spans="1:3" x14ac:dyDescent="0.3">
      <c r="A226">
        <v>1909</v>
      </c>
      <c r="B226" s="1" t="s">
        <v>3</v>
      </c>
      <c r="C226" s="2">
        <v>43209</v>
      </c>
    </row>
    <row r="227" spans="1:3" x14ac:dyDescent="0.3">
      <c r="A227">
        <v>38689</v>
      </c>
      <c r="B227" s="1" t="s">
        <v>4</v>
      </c>
      <c r="C227" s="2">
        <v>43190</v>
      </c>
    </row>
    <row r="228" spans="1:3" x14ac:dyDescent="0.3">
      <c r="A228">
        <v>51082</v>
      </c>
      <c r="B228" s="1" t="s">
        <v>4</v>
      </c>
      <c r="C228" s="2">
        <v>43282</v>
      </c>
    </row>
    <row r="229" spans="1:3" x14ac:dyDescent="0.3">
      <c r="A229">
        <v>56682</v>
      </c>
      <c r="B229" s="1" t="s">
        <v>4</v>
      </c>
      <c r="C229" s="2">
        <v>43154</v>
      </c>
    </row>
    <row r="230" spans="1:3" x14ac:dyDescent="0.3">
      <c r="A230">
        <v>54656</v>
      </c>
      <c r="B230" s="1" t="s">
        <v>3</v>
      </c>
      <c r="C230" s="2">
        <v>43085</v>
      </c>
    </row>
    <row r="231" spans="1:3" x14ac:dyDescent="0.3">
      <c r="A231">
        <v>77394</v>
      </c>
      <c r="B231" s="1" t="s">
        <v>4</v>
      </c>
      <c r="C231" s="2">
        <v>43137</v>
      </c>
    </row>
    <row r="232" spans="1:3" x14ac:dyDescent="0.3">
      <c r="A232">
        <v>76763</v>
      </c>
      <c r="B232" s="1" t="s">
        <v>4</v>
      </c>
      <c r="C232" s="2">
        <v>43128</v>
      </c>
    </row>
    <row r="233" spans="1:3" x14ac:dyDescent="0.3">
      <c r="A233">
        <v>44086</v>
      </c>
      <c r="B233" s="1" t="s">
        <v>4</v>
      </c>
      <c r="C233" s="2">
        <v>43279</v>
      </c>
    </row>
    <row r="234" spans="1:3" x14ac:dyDescent="0.3">
      <c r="A234">
        <v>35361</v>
      </c>
      <c r="B234" s="1" t="s">
        <v>4</v>
      </c>
      <c r="C234" s="2">
        <v>43181</v>
      </c>
    </row>
    <row r="235" spans="1:3" x14ac:dyDescent="0.3">
      <c r="A235">
        <v>82635</v>
      </c>
      <c r="B235" s="1" t="s">
        <v>4</v>
      </c>
      <c r="C235" s="2">
        <v>43256</v>
      </c>
    </row>
    <row r="236" spans="1:3" x14ac:dyDescent="0.3">
      <c r="A236">
        <v>31422</v>
      </c>
      <c r="B236" s="1" t="s">
        <v>4</v>
      </c>
      <c r="C236" s="2">
        <v>43201</v>
      </c>
    </row>
    <row r="237" spans="1:3" x14ac:dyDescent="0.3">
      <c r="A237">
        <v>56012</v>
      </c>
      <c r="B237" s="1" t="s">
        <v>4</v>
      </c>
      <c r="C237" s="2">
        <v>43082</v>
      </c>
    </row>
    <row r="238" spans="1:3" x14ac:dyDescent="0.3">
      <c r="A238">
        <v>95252</v>
      </c>
      <c r="B238" s="1" t="s">
        <v>3</v>
      </c>
      <c r="C238" s="2">
        <v>43144</v>
      </c>
    </row>
    <row r="239" spans="1:3" x14ac:dyDescent="0.3">
      <c r="A239">
        <v>90422</v>
      </c>
      <c r="B239" s="1" t="s">
        <v>3</v>
      </c>
      <c r="C239" s="2">
        <v>43124</v>
      </c>
    </row>
    <row r="240" spans="1:3" x14ac:dyDescent="0.3">
      <c r="A240">
        <v>90732</v>
      </c>
      <c r="B240" s="1" t="s">
        <v>4</v>
      </c>
      <c r="C240" s="2">
        <v>43264</v>
      </c>
    </row>
    <row r="241" spans="1:3" x14ac:dyDescent="0.3">
      <c r="A241">
        <v>49818</v>
      </c>
      <c r="B241" s="1" t="s">
        <v>3</v>
      </c>
      <c r="C241" s="2">
        <v>43214</v>
      </c>
    </row>
    <row r="242" spans="1:3" x14ac:dyDescent="0.3">
      <c r="A242">
        <v>77128</v>
      </c>
      <c r="B242" s="1" t="s">
        <v>3</v>
      </c>
      <c r="C242" s="2">
        <v>43146</v>
      </c>
    </row>
    <row r="243" spans="1:3" x14ac:dyDescent="0.3">
      <c r="A243">
        <v>37973</v>
      </c>
      <c r="B243" s="1" t="s">
        <v>4</v>
      </c>
      <c r="C243" s="2">
        <v>43230</v>
      </c>
    </row>
    <row r="244" spans="1:3" x14ac:dyDescent="0.3">
      <c r="A244">
        <v>53555</v>
      </c>
      <c r="B244" s="1" t="s">
        <v>4</v>
      </c>
      <c r="C244" s="2">
        <v>43171</v>
      </c>
    </row>
    <row r="245" spans="1:3" x14ac:dyDescent="0.3">
      <c r="A245">
        <v>32250</v>
      </c>
      <c r="B245" s="1" t="s">
        <v>4</v>
      </c>
      <c r="C245" s="2">
        <v>43201</v>
      </c>
    </row>
    <row r="246" spans="1:3" x14ac:dyDescent="0.3">
      <c r="A246">
        <v>31985</v>
      </c>
      <c r="B246" s="1" t="s">
        <v>3</v>
      </c>
      <c r="C246" s="2">
        <v>43274</v>
      </c>
    </row>
    <row r="247" spans="1:3" x14ac:dyDescent="0.3">
      <c r="A247">
        <v>12614</v>
      </c>
      <c r="B247" s="1" t="s">
        <v>3</v>
      </c>
      <c r="C247" s="2">
        <v>43278</v>
      </c>
    </row>
    <row r="248" spans="1:3" x14ac:dyDescent="0.3">
      <c r="A248">
        <v>62418</v>
      </c>
      <c r="B248" s="1" t="s">
        <v>4</v>
      </c>
      <c r="C248" s="2">
        <v>43088</v>
      </c>
    </row>
    <row r="249" spans="1:3" x14ac:dyDescent="0.3">
      <c r="A249">
        <v>20717</v>
      </c>
      <c r="B249" s="1" t="s">
        <v>3</v>
      </c>
      <c r="C249" s="2">
        <v>43278</v>
      </c>
    </row>
    <row r="250" spans="1:3" x14ac:dyDescent="0.3">
      <c r="A250">
        <v>53533</v>
      </c>
      <c r="B250" s="1" t="s">
        <v>3</v>
      </c>
      <c r="C250" s="2">
        <v>43168</v>
      </c>
    </row>
    <row r="251" spans="1:3" x14ac:dyDescent="0.3">
      <c r="A251">
        <v>57803</v>
      </c>
      <c r="B251" s="1" t="s">
        <v>4</v>
      </c>
      <c r="C251" s="2">
        <v>43127</v>
      </c>
    </row>
    <row r="252" spans="1:3" x14ac:dyDescent="0.3">
      <c r="A252">
        <v>13954</v>
      </c>
      <c r="B252" s="1" t="s">
        <v>3</v>
      </c>
      <c r="C252" s="2">
        <v>43088</v>
      </c>
    </row>
    <row r="253" spans="1:3" x14ac:dyDescent="0.3">
      <c r="A253">
        <v>95817</v>
      </c>
      <c r="B253" s="1" t="s">
        <v>3</v>
      </c>
      <c r="C253" s="2">
        <v>43205</v>
      </c>
    </row>
    <row r="254" spans="1:3" x14ac:dyDescent="0.3">
      <c r="A254">
        <v>57931</v>
      </c>
      <c r="B254" s="1" t="s">
        <v>3</v>
      </c>
      <c r="C254" s="2">
        <v>43195</v>
      </c>
    </row>
    <row r="255" spans="1:3" x14ac:dyDescent="0.3">
      <c r="A255">
        <v>53117</v>
      </c>
      <c r="B255" s="1" t="s">
        <v>3</v>
      </c>
      <c r="C255" s="2">
        <v>43120</v>
      </c>
    </row>
    <row r="256" spans="1:3" x14ac:dyDescent="0.3">
      <c r="A256">
        <v>83308</v>
      </c>
      <c r="B256" s="1" t="s">
        <v>4</v>
      </c>
      <c r="C256" s="2">
        <v>43165</v>
      </c>
    </row>
    <row r="257" spans="1:3" x14ac:dyDescent="0.3">
      <c r="A257">
        <v>78420</v>
      </c>
      <c r="B257" s="1" t="s">
        <v>4</v>
      </c>
      <c r="C257" s="2">
        <v>43110</v>
      </c>
    </row>
    <row r="258" spans="1:3" x14ac:dyDescent="0.3">
      <c r="A258">
        <v>82112</v>
      </c>
      <c r="B258" s="1" t="s">
        <v>3</v>
      </c>
      <c r="C258" s="2">
        <v>43208</v>
      </c>
    </row>
    <row r="259" spans="1:3" x14ac:dyDescent="0.3">
      <c r="A259">
        <v>97636</v>
      </c>
      <c r="B259" s="1" t="s">
        <v>4</v>
      </c>
      <c r="C259" s="2">
        <v>43206</v>
      </c>
    </row>
    <row r="260" spans="1:3" x14ac:dyDescent="0.3">
      <c r="A260">
        <v>49777</v>
      </c>
      <c r="B260" s="1" t="s">
        <v>4</v>
      </c>
      <c r="C260" s="2">
        <v>43086</v>
      </c>
    </row>
    <row r="261" spans="1:3" x14ac:dyDescent="0.3">
      <c r="A261">
        <v>52487</v>
      </c>
      <c r="B261" s="1" t="s">
        <v>4</v>
      </c>
      <c r="C261" s="2">
        <v>43106</v>
      </c>
    </row>
    <row r="262" spans="1:3" x14ac:dyDescent="0.3">
      <c r="A262">
        <v>16428</v>
      </c>
      <c r="B262" s="1" t="s">
        <v>3</v>
      </c>
      <c r="C262" s="2">
        <v>43266</v>
      </c>
    </row>
    <row r="263" spans="1:3" x14ac:dyDescent="0.3">
      <c r="A263">
        <v>70014</v>
      </c>
      <c r="B263" s="1" t="s">
        <v>4</v>
      </c>
      <c r="C263" s="2">
        <v>43154</v>
      </c>
    </row>
    <row r="264" spans="1:3" x14ac:dyDescent="0.3">
      <c r="A264">
        <v>84347</v>
      </c>
      <c r="B264" s="1" t="s">
        <v>4</v>
      </c>
      <c r="C264" s="2">
        <v>43181</v>
      </c>
    </row>
    <row r="265" spans="1:3" x14ac:dyDescent="0.3">
      <c r="A265">
        <v>68899</v>
      </c>
      <c r="B265" s="1" t="s">
        <v>4</v>
      </c>
      <c r="C265" s="2">
        <v>43212</v>
      </c>
    </row>
    <row r="266" spans="1:3" x14ac:dyDescent="0.3">
      <c r="A266">
        <v>19567</v>
      </c>
      <c r="B266" s="1" t="s">
        <v>3</v>
      </c>
      <c r="C266" s="2">
        <v>43151</v>
      </c>
    </row>
    <row r="267" spans="1:3" x14ac:dyDescent="0.3">
      <c r="A267">
        <v>12861</v>
      </c>
      <c r="B267" s="1" t="s">
        <v>3</v>
      </c>
      <c r="C267" s="2">
        <v>43240</v>
      </c>
    </row>
    <row r="268" spans="1:3" x14ac:dyDescent="0.3">
      <c r="A268">
        <v>65910</v>
      </c>
      <c r="B268" s="1" t="s">
        <v>3</v>
      </c>
      <c r="C268" s="2">
        <v>43182</v>
      </c>
    </row>
    <row r="269" spans="1:3" x14ac:dyDescent="0.3">
      <c r="A269">
        <v>84089</v>
      </c>
      <c r="B269" s="1" t="s">
        <v>4</v>
      </c>
      <c r="C269" s="2">
        <v>43132</v>
      </c>
    </row>
    <row r="270" spans="1:3" x14ac:dyDescent="0.3">
      <c r="A270">
        <v>13935</v>
      </c>
      <c r="B270" s="1" t="s">
        <v>3</v>
      </c>
      <c r="C270" s="2">
        <v>43252</v>
      </c>
    </row>
    <row r="271" spans="1:3" x14ac:dyDescent="0.3">
      <c r="A271">
        <v>87841</v>
      </c>
      <c r="B271" s="1" t="s">
        <v>4</v>
      </c>
      <c r="C271" s="2">
        <v>43114</v>
      </c>
    </row>
    <row r="272" spans="1:3" x14ac:dyDescent="0.3">
      <c r="A272">
        <v>32831</v>
      </c>
      <c r="B272" s="1" t="s">
        <v>4</v>
      </c>
      <c r="C272" s="2">
        <v>43116</v>
      </c>
    </row>
    <row r="273" spans="1:3" x14ac:dyDescent="0.3">
      <c r="A273">
        <v>90264</v>
      </c>
      <c r="B273" s="1" t="s">
        <v>4</v>
      </c>
      <c r="C273" s="2">
        <v>43198</v>
      </c>
    </row>
    <row r="274" spans="1:3" x14ac:dyDescent="0.3">
      <c r="A274">
        <v>52401</v>
      </c>
      <c r="B274" s="1" t="s">
        <v>4</v>
      </c>
      <c r="C274" s="2">
        <v>43119</v>
      </c>
    </row>
    <row r="275" spans="1:3" x14ac:dyDescent="0.3">
      <c r="A275">
        <v>91896</v>
      </c>
      <c r="B275" s="1" t="s">
        <v>3</v>
      </c>
      <c r="C275" s="2">
        <v>43149</v>
      </c>
    </row>
    <row r="276" spans="1:3" x14ac:dyDescent="0.3">
      <c r="A276">
        <v>82424</v>
      </c>
      <c r="B276" s="1" t="s">
        <v>4</v>
      </c>
      <c r="C276" s="2">
        <v>43136</v>
      </c>
    </row>
    <row r="277" spans="1:3" x14ac:dyDescent="0.3">
      <c r="A277">
        <v>38180</v>
      </c>
      <c r="B277" s="1" t="s">
        <v>3</v>
      </c>
      <c r="C277" s="2">
        <v>43145</v>
      </c>
    </row>
    <row r="278" spans="1:3" x14ac:dyDescent="0.3">
      <c r="A278">
        <v>51178</v>
      </c>
      <c r="B278" s="1" t="s">
        <v>3</v>
      </c>
      <c r="C278" s="2">
        <v>43215</v>
      </c>
    </row>
    <row r="279" spans="1:3" x14ac:dyDescent="0.3">
      <c r="A279">
        <v>43383</v>
      </c>
      <c r="B279" s="1" t="s">
        <v>4</v>
      </c>
      <c r="C279" s="2">
        <v>43220</v>
      </c>
    </row>
    <row r="280" spans="1:3" x14ac:dyDescent="0.3">
      <c r="A280">
        <v>81856</v>
      </c>
      <c r="B280" s="1" t="s">
        <v>4</v>
      </c>
      <c r="C280" s="2">
        <v>43254</v>
      </c>
    </row>
    <row r="281" spans="1:3" x14ac:dyDescent="0.3">
      <c r="A281">
        <v>67028</v>
      </c>
      <c r="B281" s="1" t="s">
        <v>3</v>
      </c>
      <c r="C281" s="2">
        <v>43224</v>
      </c>
    </row>
    <row r="282" spans="1:3" x14ac:dyDescent="0.3">
      <c r="A282">
        <v>26267</v>
      </c>
      <c r="B282" s="1" t="s">
        <v>3</v>
      </c>
      <c r="C282" s="2">
        <v>43202</v>
      </c>
    </row>
    <row r="283" spans="1:3" x14ac:dyDescent="0.3">
      <c r="A283">
        <v>68443</v>
      </c>
      <c r="B283" s="1" t="s">
        <v>3</v>
      </c>
      <c r="C283" s="2">
        <v>43120</v>
      </c>
    </row>
    <row r="284" spans="1:3" x14ac:dyDescent="0.3">
      <c r="A284">
        <v>56618</v>
      </c>
      <c r="B284" s="1" t="s">
        <v>3</v>
      </c>
      <c r="C284" s="2">
        <v>43091</v>
      </c>
    </row>
    <row r="285" spans="1:3" x14ac:dyDescent="0.3">
      <c r="A285">
        <v>1096</v>
      </c>
      <c r="B285" s="1" t="s">
        <v>3</v>
      </c>
      <c r="C285" s="2">
        <v>43149</v>
      </c>
    </row>
    <row r="286" spans="1:3" x14ac:dyDescent="0.3">
      <c r="A286">
        <v>63565</v>
      </c>
      <c r="B286" s="1" t="s">
        <v>3</v>
      </c>
      <c r="C286" s="2">
        <v>43088</v>
      </c>
    </row>
    <row r="287" spans="1:3" x14ac:dyDescent="0.3">
      <c r="A287">
        <v>4833</v>
      </c>
      <c r="B287" s="1" t="s">
        <v>3</v>
      </c>
      <c r="C287" s="2">
        <v>43264</v>
      </c>
    </row>
    <row r="288" spans="1:3" x14ac:dyDescent="0.3">
      <c r="A288">
        <v>94365</v>
      </c>
      <c r="B288" s="1" t="s">
        <v>3</v>
      </c>
      <c r="C288" s="2">
        <v>43152</v>
      </c>
    </row>
    <row r="289" spans="1:3" x14ac:dyDescent="0.3">
      <c r="A289">
        <v>43529</v>
      </c>
      <c r="B289" s="1" t="s">
        <v>4</v>
      </c>
      <c r="C289" s="2">
        <v>43152</v>
      </c>
    </row>
    <row r="290" spans="1:3" x14ac:dyDescent="0.3">
      <c r="A290">
        <v>66611</v>
      </c>
      <c r="B290" s="1" t="s">
        <v>4</v>
      </c>
      <c r="C290" s="2">
        <v>43127</v>
      </c>
    </row>
    <row r="291" spans="1:3" x14ac:dyDescent="0.3">
      <c r="A291">
        <v>80365</v>
      </c>
      <c r="B291" s="1" t="s">
        <v>3</v>
      </c>
      <c r="C291" s="2">
        <v>43084</v>
      </c>
    </row>
    <row r="292" spans="1:3" x14ac:dyDescent="0.3">
      <c r="A292">
        <v>99745</v>
      </c>
      <c r="B292" s="1" t="s">
        <v>3</v>
      </c>
      <c r="C292" s="2">
        <v>43243</v>
      </c>
    </row>
    <row r="293" spans="1:3" x14ac:dyDescent="0.3">
      <c r="A293">
        <v>14324</v>
      </c>
      <c r="B293" s="1" t="s">
        <v>3</v>
      </c>
      <c r="C293" s="2">
        <v>43130</v>
      </c>
    </row>
    <row r="294" spans="1:3" x14ac:dyDescent="0.3">
      <c r="A294">
        <v>66779</v>
      </c>
      <c r="B294" s="1" t="s">
        <v>4</v>
      </c>
      <c r="C294" s="2">
        <v>43271</v>
      </c>
    </row>
    <row r="295" spans="1:3" x14ac:dyDescent="0.3">
      <c r="A295">
        <v>64604</v>
      </c>
      <c r="B295" s="1" t="s">
        <v>4</v>
      </c>
      <c r="C295" s="2">
        <v>43202</v>
      </c>
    </row>
    <row r="296" spans="1:3" x14ac:dyDescent="0.3">
      <c r="A296">
        <v>48315</v>
      </c>
      <c r="B296" s="1" t="s">
        <v>4</v>
      </c>
      <c r="C296" s="2">
        <v>43259</v>
      </c>
    </row>
    <row r="297" spans="1:3" x14ac:dyDescent="0.3">
      <c r="A297">
        <v>58283</v>
      </c>
      <c r="B297" s="1" t="s">
        <v>4</v>
      </c>
      <c r="C297" s="2">
        <v>43087</v>
      </c>
    </row>
    <row r="298" spans="1:3" x14ac:dyDescent="0.3">
      <c r="A298">
        <v>74319</v>
      </c>
      <c r="B298" s="1" t="s">
        <v>3</v>
      </c>
      <c r="C298" s="2">
        <v>43193</v>
      </c>
    </row>
    <row r="299" spans="1:3" x14ac:dyDescent="0.3">
      <c r="A299">
        <v>31634</v>
      </c>
      <c r="B299" s="1" t="s">
        <v>3</v>
      </c>
      <c r="C299" s="2">
        <v>43247</v>
      </c>
    </row>
    <row r="300" spans="1:3" x14ac:dyDescent="0.3">
      <c r="A300">
        <v>49588</v>
      </c>
      <c r="B300" s="1" t="s">
        <v>4</v>
      </c>
      <c r="C300" s="2">
        <v>43166</v>
      </c>
    </row>
    <row r="301" spans="1:3" x14ac:dyDescent="0.3">
      <c r="A301">
        <v>78482</v>
      </c>
      <c r="B301" s="1" t="s">
        <v>3</v>
      </c>
      <c r="C301" s="2">
        <v>43147</v>
      </c>
    </row>
    <row r="302" spans="1:3" x14ac:dyDescent="0.3">
      <c r="A302">
        <v>63990</v>
      </c>
      <c r="B302" s="1" t="s">
        <v>3</v>
      </c>
      <c r="C302" s="2">
        <v>43205</v>
      </c>
    </row>
    <row r="303" spans="1:3" x14ac:dyDescent="0.3">
      <c r="A303">
        <v>58425</v>
      </c>
      <c r="B303" s="1" t="s">
        <v>4</v>
      </c>
      <c r="C303" s="2">
        <v>43279</v>
      </c>
    </row>
    <row r="304" spans="1:3" x14ac:dyDescent="0.3">
      <c r="A304">
        <v>81096</v>
      </c>
      <c r="B304" s="1" t="s">
        <v>4</v>
      </c>
      <c r="C304" s="2">
        <v>43179</v>
      </c>
    </row>
    <row r="305" spans="1:3" x14ac:dyDescent="0.3">
      <c r="A305">
        <v>31136</v>
      </c>
      <c r="B305" s="1" t="s">
        <v>4</v>
      </c>
      <c r="C305" s="2">
        <v>43237</v>
      </c>
    </row>
    <row r="306" spans="1:3" x14ac:dyDescent="0.3">
      <c r="A306">
        <v>55089</v>
      </c>
      <c r="B306" s="1" t="s">
        <v>4</v>
      </c>
      <c r="C306" s="2">
        <v>43186</v>
      </c>
    </row>
    <row r="307" spans="1:3" x14ac:dyDescent="0.3">
      <c r="A307">
        <v>1745</v>
      </c>
      <c r="B307" s="1" t="s">
        <v>3</v>
      </c>
      <c r="C307" s="2">
        <v>43169</v>
      </c>
    </row>
    <row r="308" spans="1:3" x14ac:dyDescent="0.3">
      <c r="A308">
        <v>56976</v>
      </c>
      <c r="B308" s="1" t="s">
        <v>4</v>
      </c>
      <c r="C308" s="2">
        <v>43157</v>
      </c>
    </row>
    <row r="309" spans="1:3" x14ac:dyDescent="0.3">
      <c r="A309">
        <v>33750</v>
      </c>
      <c r="B309" s="1" t="s">
        <v>3</v>
      </c>
      <c r="C309" s="2">
        <v>43174</v>
      </c>
    </row>
    <row r="310" spans="1:3" x14ac:dyDescent="0.3">
      <c r="A310">
        <v>93615</v>
      </c>
      <c r="B310" s="1" t="s">
        <v>3</v>
      </c>
      <c r="C310" s="2">
        <v>43084</v>
      </c>
    </row>
    <row r="311" spans="1:3" x14ac:dyDescent="0.3">
      <c r="A311">
        <v>74904</v>
      </c>
      <c r="B311" s="1" t="s">
        <v>4</v>
      </c>
      <c r="C311" s="2">
        <v>43246</v>
      </c>
    </row>
    <row r="312" spans="1:3" x14ac:dyDescent="0.3">
      <c r="A312">
        <v>89394</v>
      </c>
      <c r="B312" s="1" t="s">
        <v>3</v>
      </c>
      <c r="C312" s="2">
        <v>43150</v>
      </c>
    </row>
    <row r="313" spans="1:3" x14ac:dyDescent="0.3">
      <c r="A313">
        <v>32918</v>
      </c>
      <c r="B313" s="1" t="s">
        <v>4</v>
      </c>
      <c r="C313" s="2">
        <v>43221</v>
      </c>
    </row>
    <row r="314" spans="1:3" x14ac:dyDescent="0.3">
      <c r="A314">
        <v>67885</v>
      </c>
      <c r="B314" s="1" t="s">
        <v>4</v>
      </c>
      <c r="C314" s="2">
        <v>43190</v>
      </c>
    </row>
    <row r="315" spans="1:3" x14ac:dyDescent="0.3">
      <c r="A315">
        <v>53935</v>
      </c>
      <c r="B315" s="1" t="s">
        <v>3</v>
      </c>
      <c r="C315" s="2">
        <v>43257</v>
      </c>
    </row>
    <row r="316" spans="1:3" x14ac:dyDescent="0.3">
      <c r="A316">
        <v>40551</v>
      </c>
      <c r="B316" s="1" t="s">
        <v>4</v>
      </c>
      <c r="C316" s="2">
        <v>43241</v>
      </c>
    </row>
    <row r="317" spans="1:3" x14ac:dyDescent="0.3">
      <c r="A317">
        <v>30782</v>
      </c>
      <c r="B317" s="1" t="s">
        <v>4</v>
      </c>
      <c r="C317" s="2">
        <v>43208</v>
      </c>
    </row>
    <row r="318" spans="1:3" x14ac:dyDescent="0.3">
      <c r="A318">
        <v>81371</v>
      </c>
      <c r="B318" s="1" t="s">
        <v>3</v>
      </c>
      <c r="C318" s="2">
        <v>43204</v>
      </c>
    </row>
    <row r="319" spans="1:3" x14ac:dyDescent="0.3">
      <c r="A319">
        <v>36556</v>
      </c>
      <c r="B319" s="1" t="s">
        <v>3</v>
      </c>
      <c r="C319" s="2">
        <v>43192</v>
      </c>
    </row>
    <row r="320" spans="1:3" x14ac:dyDescent="0.3">
      <c r="A320">
        <v>70331</v>
      </c>
      <c r="B320" s="1" t="s">
        <v>4</v>
      </c>
      <c r="C320" s="2">
        <v>43276</v>
      </c>
    </row>
    <row r="321" spans="1:3" x14ac:dyDescent="0.3">
      <c r="A321">
        <v>64958</v>
      </c>
      <c r="B321" s="1" t="s">
        <v>4</v>
      </c>
      <c r="C321" s="2">
        <v>43184</v>
      </c>
    </row>
    <row r="322" spans="1:3" x14ac:dyDescent="0.3">
      <c r="A322">
        <v>73204</v>
      </c>
      <c r="B322" s="1" t="s">
        <v>3</v>
      </c>
      <c r="C322" s="2">
        <v>43253</v>
      </c>
    </row>
    <row r="323" spans="1:3" x14ac:dyDescent="0.3">
      <c r="A323">
        <v>92075</v>
      </c>
      <c r="B323" s="1" t="s">
        <v>4</v>
      </c>
      <c r="C323" s="2">
        <v>43279</v>
      </c>
    </row>
    <row r="324" spans="1:3" x14ac:dyDescent="0.3">
      <c r="A324">
        <v>46442</v>
      </c>
      <c r="B324" s="1" t="s">
        <v>4</v>
      </c>
      <c r="C324" s="2">
        <v>43131</v>
      </c>
    </row>
    <row r="325" spans="1:3" x14ac:dyDescent="0.3">
      <c r="A325">
        <v>89194</v>
      </c>
      <c r="B325" s="1" t="s">
        <v>3</v>
      </c>
      <c r="C325" s="2">
        <v>43225</v>
      </c>
    </row>
    <row r="326" spans="1:3" x14ac:dyDescent="0.3">
      <c r="A326">
        <v>62935</v>
      </c>
      <c r="B326" s="1" t="s">
        <v>3</v>
      </c>
      <c r="C326" s="2">
        <v>43218</v>
      </c>
    </row>
    <row r="327" spans="1:3" x14ac:dyDescent="0.3">
      <c r="A327">
        <v>1882</v>
      </c>
      <c r="B327" s="1" t="s">
        <v>3</v>
      </c>
      <c r="C327" s="2">
        <v>43134</v>
      </c>
    </row>
    <row r="328" spans="1:3" x14ac:dyDescent="0.3">
      <c r="A328">
        <v>28785</v>
      </c>
      <c r="B328" s="1" t="s">
        <v>3</v>
      </c>
      <c r="C328" s="2">
        <v>43175</v>
      </c>
    </row>
    <row r="329" spans="1:3" x14ac:dyDescent="0.3">
      <c r="A329">
        <v>32403</v>
      </c>
      <c r="B329" s="1" t="s">
        <v>3</v>
      </c>
      <c r="C329" s="2">
        <v>43165</v>
      </c>
    </row>
    <row r="330" spans="1:3" x14ac:dyDescent="0.3">
      <c r="A330">
        <v>45158</v>
      </c>
      <c r="B330" s="1" t="s">
        <v>4</v>
      </c>
      <c r="C330" s="2">
        <v>43254</v>
      </c>
    </row>
    <row r="331" spans="1:3" x14ac:dyDescent="0.3">
      <c r="A331">
        <v>53804</v>
      </c>
      <c r="B331" s="1" t="s">
        <v>4</v>
      </c>
      <c r="C331" s="2">
        <v>43115</v>
      </c>
    </row>
    <row r="332" spans="1:3" x14ac:dyDescent="0.3">
      <c r="A332">
        <v>96271</v>
      </c>
      <c r="B332" s="1" t="s">
        <v>3</v>
      </c>
      <c r="C332" s="2">
        <v>43098</v>
      </c>
    </row>
    <row r="333" spans="1:3" x14ac:dyDescent="0.3">
      <c r="A333">
        <v>6618</v>
      </c>
      <c r="B333" s="1" t="s">
        <v>3</v>
      </c>
      <c r="C333" s="2">
        <v>43228</v>
      </c>
    </row>
    <row r="334" spans="1:3" x14ac:dyDescent="0.3">
      <c r="A334">
        <v>28083</v>
      </c>
      <c r="B334" s="1" t="s">
        <v>3</v>
      </c>
      <c r="C334" s="2">
        <v>43264</v>
      </c>
    </row>
    <row r="335" spans="1:3" x14ac:dyDescent="0.3">
      <c r="A335">
        <v>97479</v>
      </c>
      <c r="B335" s="1" t="s">
        <v>4</v>
      </c>
      <c r="C335" s="2">
        <v>43173</v>
      </c>
    </row>
    <row r="336" spans="1:3" x14ac:dyDescent="0.3">
      <c r="A336">
        <v>91232</v>
      </c>
      <c r="B336" s="1" t="s">
        <v>4</v>
      </c>
      <c r="C336" s="2">
        <v>43240</v>
      </c>
    </row>
    <row r="337" spans="1:3" x14ac:dyDescent="0.3">
      <c r="A337">
        <v>72520</v>
      </c>
      <c r="B337" s="1" t="s">
        <v>4</v>
      </c>
      <c r="C337" s="2">
        <v>43237</v>
      </c>
    </row>
    <row r="338" spans="1:3" x14ac:dyDescent="0.3">
      <c r="A338">
        <v>28307</v>
      </c>
      <c r="B338" s="1" t="s">
        <v>3</v>
      </c>
      <c r="C338" s="2">
        <v>43242</v>
      </c>
    </row>
    <row r="339" spans="1:3" x14ac:dyDescent="0.3">
      <c r="A339">
        <v>86154</v>
      </c>
      <c r="B339" s="1" t="s">
        <v>4</v>
      </c>
      <c r="C339" s="2">
        <v>43203</v>
      </c>
    </row>
    <row r="340" spans="1:3" x14ac:dyDescent="0.3">
      <c r="A340">
        <v>90969</v>
      </c>
      <c r="B340" s="1" t="s">
        <v>4</v>
      </c>
      <c r="C340" s="2">
        <v>43260</v>
      </c>
    </row>
    <row r="341" spans="1:3" x14ac:dyDescent="0.3">
      <c r="A341">
        <v>85028</v>
      </c>
      <c r="B341" s="1" t="s">
        <v>4</v>
      </c>
      <c r="C341" s="2">
        <v>43276</v>
      </c>
    </row>
    <row r="342" spans="1:3" x14ac:dyDescent="0.3">
      <c r="A342">
        <v>21211</v>
      </c>
      <c r="B342" s="1" t="s">
        <v>3</v>
      </c>
      <c r="C342" s="2">
        <v>43087</v>
      </c>
    </row>
    <row r="343" spans="1:3" x14ac:dyDescent="0.3">
      <c r="A343">
        <v>95774</v>
      </c>
      <c r="B343" s="1" t="s">
        <v>4</v>
      </c>
      <c r="C343" s="2">
        <v>43129</v>
      </c>
    </row>
    <row r="344" spans="1:3" x14ac:dyDescent="0.3">
      <c r="A344">
        <v>25726</v>
      </c>
      <c r="B344" s="1" t="s">
        <v>3</v>
      </c>
      <c r="C344" s="2">
        <v>43235</v>
      </c>
    </row>
    <row r="345" spans="1:3" x14ac:dyDescent="0.3">
      <c r="A345">
        <v>53435</v>
      </c>
      <c r="B345" s="1" t="s">
        <v>4</v>
      </c>
      <c r="C345" s="2">
        <v>43188</v>
      </c>
    </row>
    <row r="346" spans="1:3" x14ac:dyDescent="0.3">
      <c r="A346">
        <v>97644</v>
      </c>
      <c r="B346" s="1" t="s">
        <v>3</v>
      </c>
      <c r="C346" s="2">
        <v>43137</v>
      </c>
    </row>
    <row r="347" spans="1:3" x14ac:dyDescent="0.3">
      <c r="A347">
        <v>71295</v>
      </c>
      <c r="B347" s="1" t="s">
        <v>3</v>
      </c>
      <c r="C347" s="2">
        <v>43262</v>
      </c>
    </row>
    <row r="348" spans="1:3" x14ac:dyDescent="0.3">
      <c r="A348">
        <v>71171</v>
      </c>
      <c r="B348" s="1" t="s">
        <v>4</v>
      </c>
      <c r="C348" s="2">
        <v>43281</v>
      </c>
    </row>
    <row r="349" spans="1:3" x14ac:dyDescent="0.3">
      <c r="A349">
        <v>50750</v>
      </c>
      <c r="B349" s="1" t="s">
        <v>3</v>
      </c>
      <c r="C349" s="2">
        <v>43247</v>
      </c>
    </row>
    <row r="350" spans="1:3" x14ac:dyDescent="0.3">
      <c r="A350">
        <v>57856</v>
      </c>
      <c r="B350" s="1" t="s">
        <v>4</v>
      </c>
      <c r="C350" s="2">
        <v>43105</v>
      </c>
    </row>
    <row r="351" spans="1:3" x14ac:dyDescent="0.3">
      <c r="A351">
        <v>64334</v>
      </c>
      <c r="B351" s="1" t="s">
        <v>3</v>
      </c>
      <c r="C351" s="2">
        <v>43144</v>
      </c>
    </row>
    <row r="352" spans="1:3" x14ac:dyDescent="0.3">
      <c r="A352">
        <v>52141</v>
      </c>
      <c r="B352" s="1" t="s">
        <v>4</v>
      </c>
      <c r="C352" s="2">
        <v>43238</v>
      </c>
    </row>
    <row r="353" spans="1:3" x14ac:dyDescent="0.3">
      <c r="A353">
        <v>83908</v>
      </c>
      <c r="B353" s="1" t="s">
        <v>4</v>
      </c>
      <c r="C353" s="2">
        <v>43106</v>
      </c>
    </row>
    <row r="354" spans="1:3" x14ac:dyDescent="0.3">
      <c r="A354">
        <v>80092</v>
      </c>
      <c r="B354" s="1" t="s">
        <v>4</v>
      </c>
      <c r="C354" s="2">
        <v>43237</v>
      </c>
    </row>
    <row r="355" spans="1:3" x14ac:dyDescent="0.3">
      <c r="A355">
        <v>92440</v>
      </c>
      <c r="B355" s="1" t="s">
        <v>3</v>
      </c>
      <c r="C355" s="2">
        <v>43234</v>
      </c>
    </row>
    <row r="356" spans="1:3" x14ac:dyDescent="0.3">
      <c r="A356">
        <v>29618</v>
      </c>
      <c r="B356" s="1" t="s">
        <v>3</v>
      </c>
      <c r="C356" s="2">
        <v>43183</v>
      </c>
    </row>
    <row r="357" spans="1:3" x14ac:dyDescent="0.3">
      <c r="A357">
        <v>48411</v>
      </c>
      <c r="B357" s="1" t="s">
        <v>3</v>
      </c>
      <c r="C357" s="2">
        <v>43123</v>
      </c>
    </row>
    <row r="358" spans="1:3" x14ac:dyDescent="0.3">
      <c r="A358">
        <v>51447</v>
      </c>
      <c r="B358" s="1" t="s">
        <v>4</v>
      </c>
      <c r="C358" s="2">
        <v>43163</v>
      </c>
    </row>
    <row r="359" spans="1:3" x14ac:dyDescent="0.3">
      <c r="A359">
        <v>77674</v>
      </c>
      <c r="B359" s="1" t="s">
        <v>4</v>
      </c>
      <c r="C359" s="2">
        <v>43130</v>
      </c>
    </row>
    <row r="360" spans="1:3" x14ac:dyDescent="0.3">
      <c r="A360">
        <v>92118</v>
      </c>
      <c r="B360" s="1" t="s">
        <v>4</v>
      </c>
      <c r="C360" s="2">
        <v>43101</v>
      </c>
    </row>
    <row r="361" spans="1:3" x14ac:dyDescent="0.3">
      <c r="A361">
        <v>50710</v>
      </c>
      <c r="B361" s="1" t="s">
        <v>4</v>
      </c>
      <c r="C361" s="2">
        <v>43187</v>
      </c>
    </row>
    <row r="362" spans="1:3" x14ac:dyDescent="0.3">
      <c r="A362">
        <v>84718</v>
      </c>
      <c r="B362" s="1" t="s">
        <v>3</v>
      </c>
      <c r="C362" s="2">
        <v>43085</v>
      </c>
    </row>
    <row r="363" spans="1:3" x14ac:dyDescent="0.3">
      <c r="A363">
        <v>72097</v>
      </c>
      <c r="B363" s="1" t="s">
        <v>3</v>
      </c>
      <c r="C363" s="2">
        <v>43138</v>
      </c>
    </row>
    <row r="364" spans="1:3" x14ac:dyDescent="0.3">
      <c r="A364">
        <v>99023</v>
      </c>
      <c r="B364" s="1" t="s">
        <v>4</v>
      </c>
      <c r="C364" s="2">
        <v>43109</v>
      </c>
    </row>
    <row r="365" spans="1:3" x14ac:dyDescent="0.3">
      <c r="A365">
        <v>15588</v>
      </c>
      <c r="B365" s="1" t="s">
        <v>3</v>
      </c>
      <c r="C365" s="2">
        <v>43231</v>
      </c>
    </row>
    <row r="366" spans="1:3" x14ac:dyDescent="0.3">
      <c r="A366">
        <v>8515</v>
      </c>
      <c r="B366" s="1" t="s">
        <v>3</v>
      </c>
      <c r="C366" s="2">
        <v>43101</v>
      </c>
    </row>
    <row r="367" spans="1:3" x14ac:dyDescent="0.3">
      <c r="A367">
        <v>68727</v>
      </c>
      <c r="B367" s="1" t="s">
        <v>4</v>
      </c>
      <c r="C367" s="2">
        <v>43254</v>
      </c>
    </row>
    <row r="368" spans="1:3" x14ac:dyDescent="0.3">
      <c r="A368">
        <v>64853</v>
      </c>
      <c r="B368" s="1" t="s">
        <v>4</v>
      </c>
      <c r="C368" s="2">
        <v>43269</v>
      </c>
    </row>
    <row r="369" spans="1:3" x14ac:dyDescent="0.3">
      <c r="A369">
        <v>35683</v>
      </c>
      <c r="B369" s="1" t="s">
        <v>4</v>
      </c>
      <c r="C369" s="2">
        <v>43138</v>
      </c>
    </row>
    <row r="370" spans="1:3" x14ac:dyDescent="0.3">
      <c r="A370">
        <v>60905</v>
      </c>
      <c r="B370" s="1" t="s">
        <v>4</v>
      </c>
      <c r="C370" s="2">
        <v>43222</v>
      </c>
    </row>
    <row r="371" spans="1:3" x14ac:dyDescent="0.3">
      <c r="A371">
        <v>80056</v>
      </c>
      <c r="B371" s="1" t="s">
        <v>3</v>
      </c>
      <c r="C371" s="2">
        <v>43149</v>
      </c>
    </row>
    <row r="372" spans="1:3" x14ac:dyDescent="0.3">
      <c r="A372">
        <v>97740</v>
      </c>
      <c r="B372" s="1" t="s">
        <v>4</v>
      </c>
      <c r="C372" s="2">
        <v>43254</v>
      </c>
    </row>
    <row r="373" spans="1:3" x14ac:dyDescent="0.3">
      <c r="A373">
        <v>74521</v>
      </c>
      <c r="B373" s="1" t="s">
        <v>3</v>
      </c>
      <c r="C373" s="2">
        <v>43256</v>
      </c>
    </row>
    <row r="374" spans="1:3" x14ac:dyDescent="0.3">
      <c r="A374">
        <v>25098</v>
      </c>
      <c r="B374" s="1" t="s">
        <v>3</v>
      </c>
      <c r="C374" s="2">
        <v>43224</v>
      </c>
    </row>
    <row r="375" spans="1:3" x14ac:dyDescent="0.3">
      <c r="A375">
        <v>38283</v>
      </c>
      <c r="B375" s="1" t="s">
        <v>4</v>
      </c>
      <c r="C375" s="2">
        <v>43090</v>
      </c>
    </row>
    <row r="376" spans="1:3" x14ac:dyDescent="0.3">
      <c r="A376">
        <v>17136</v>
      </c>
      <c r="B376" s="1" t="s">
        <v>3</v>
      </c>
      <c r="C376" s="2">
        <v>43281</v>
      </c>
    </row>
    <row r="377" spans="1:3" x14ac:dyDescent="0.3">
      <c r="A377">
        <v>94020</v>
      </c>
      <c r="B377" s="1" t="s">
        <v>4</v>
      </c>
      <c r="C377" s="2">
        <v>43118</v>
      </c>
    </row>
    <row r="378" spans="1:3" x14ac:dyDescent="0.3">
      <c r="A378">
        <v>84837</v>
      </c>
      <c r="B378" s="1" t="s">
        <v>4</v>
      </c>
      <c r="C378" s="2">
        <v>43267</v>
      </c>
    </row>
    <row r="379" spans="1:3" x14ac:dyDescent="0.3">
      <c r="A379">
        <v>87411</v>
      </c>
      <c r="B379" s="1" t="s">
        <v>4</v>
      </c>
      <c r="C379" s="2">
        <v>43131</v>
      </c>
    </row>
    <row r="380" spans="1:3" x14ac:dyDescent="0.3">
      <c r="A380">
        <v>74545</v>
      </c>
      <c r="B380" s="1" t="s">
        <v>4</v>
      </c>
      <c r="C380" s="2">
        <v>43272</v>
      </c>
    </row>
    <row r="381" spans="1:3" x14ac:dyDescent="0.3">
      <c r="A381">
        <v>14791</v>
      </c>
      <c r="B381" s="1" t="s">
        <v>3</v>
      </c>
      <c r="C381" s="2">
        <v>43135</v>
      </c>
    </row>
    <row r="382" spans="1:3" x14ac:dyDescent="0.3">
      <c r="A382">
        <v>77924</v>
      </c>
      <c r="B382" s="1" t="s">
        <v>3</v>
      </c>
      <c r="C382" s="2">
        <v>43162</v>
      </c>
    </row>
    <row r="383" spans="1:3" x14ac:dyDescent="0.3">
      <c r="A383">
        <v>33045</v>
      </c>
      <c r="B383" s="1" t="s">
        <v>3</v>
      </c>
      <c r="C383" s="2">
        <v>43247</v>
      </c>
    </row>
    <row r="384" spans="1:3" x14ac:dyDescent="0.3">
      <c r="A384">
        <v>13308</v>
      </c>
      <c r="B384" s="1" t="s">
        <v>3</v>
      </c>
      <c r="C384" s="2">
        <v>43268</v>
      </c>
    </row>
    <row r="385" spans="1:3" x14ac:dyDescent="0.3">
      <c r="A385">
        <v>86616</v>
      </c>
      <c r="B385" s="1" t="s">
        <v>4</v>
      </c>
      <c r="C385" s="2">
        <v>43257</v>
      </c>
    </row>
    <row r="386" spans="1:3" x14ac:dyDescent="0.3">
      <c r="A386">
        <v>62763</v>
      </c>
      <c r="B386" s="1" t="s">
        <v>4</v>
      </c>
      <c r="C386" s="2">
        <v>43097</v>
      </c>
    </row>
    <row r="387" spans="1:3" x14ac:dyDescent="0.3">
      <c r="A387">
        <v>26278</v>
      </c>
      <c r="B387" s="1" t="s">
        <v>3</v>
      </c>
      <c r="C387" s="2">
        <v>43251</v>
      </c>
    </row>
    <row r="388" spans="1:3" x14ac:dyDescent="0.3">
      <c r="A388">
        <v>33309</v>
      </c>
      <c r="B388" s="1" t="s">
        <v>4</v>
      </c>
      <c r="C388" s="2">
        <v>43127</v>
      </c>
    </row>
    <row r="389" spans="1:3" x14ac:dyDescent="0.3">
      <c r="A389">
        <v>91003</v>
      </c>
      <c r="B389" s="1" t="s">
        <v>3</v>
      </c>
      <c r="C389" s="2">
        <v>43163</v>
      </c>
    </row>
    <row r="390" spans="1:3" x14ac:dyDescent="0.3">
      <c r="A390">
        <v>92578</v>
      </c>
      <c r="B390" s="1" t="s">
        <v>3</v>
      </c>
      <c r="C390" s="2">
        <v>43254</v>
      </c>
    </row>
    <row r="391" spans="1:3" x14ac:dyDescent="0.3">
      <c r="A391">
        <v>53494</v>
      </c>
      <c r="B391" s="1" t="s">
        <v>3</v>
      </c>
      <c r="C391" s="2">
        <v>43083</v>
      </c>
    </row>
    <row r="392" spans="1:3" x14ac:dyDescent="0.3">
      <c r="A392">
        <v>54652</v>
      </c>
      <c r="B392" s="1" t="s">
        <v>4</v>
      </c>
      <c r="C392" s="2">
        <v>43164</v>
      </c>
    </row>
    <row r="393" spans="1:3" x14ac:dyDescent="0.3">
      <c r="A393">
        <v>36081</v>
      </c>
      <c r="B393" s="1" t="s">
        <v>3</v>
      </c>
      <c r="C393" s="2">
        <v>43136</v>
      </c>
    </row>
    <row r="394" spans="1:3" x14ac:dyDescent="0.3">
      <c r="A394">
        <v>88330</v>
      </c>
      <c r="B394" s="1" t="s">
        <v>3</v>
      </c>
      <c r="C394" s="2">
        <v>43230</v>
      </c>
    </row>
    <row r="395" spans="1:3" x14ac:dyDescent="0.3">
      <c r="A395">
        <v>51969</v>
      </c>
      <c r="B395" s="1" t="s">
        <v>4</v>
      </c>
      <c r="C395" s="2">
        <v>43219</v>
      </c>
    </row>
    <row r="396" spans="1:3" x14ac:dyDescent="0.3">
      <c r="A396">
        <v>31234</v>
      </c>
      <c r="B396" s="1" t="s">
        <v>4</v>
      </c>
      <c r="C396" s="2">
        <v>43249</v>
      </c>
    </row>
    <row r="397" spans="1:3" x14ac:dyDescent="0.3">
      <c r="A397">
        <v>52304</v>
      </c>
      <c r="B397" s="1" t="s">
        <v>4</v>
      </c>
      <c r="C397" s="2">
        <v>43261</v>
      </c>
    </row>
    <row r="398" spans="1:3" x14ac:dyDescent="0.3">
      <c r="A398">
        <v>35968</v>
      </c>
      <c r="B398" s="1" t="s">
        <v>4</v>
      </c>
      <c r="C398" s="2">
        <v>43244</v>
      </c>
    </row>
    <row r="399" spans="1:3" x14ac:dyDescent="0.3">
      <c r="A399">
        <v>77291</v>
      </c>
      <c r="B399" s="1" t="s">
        <v>4</v>
      </c>
      <c r="C399" s="2">
        <v>43089</v>
      </c>
    </row>
    <row r="400" spans="1:3" x14ac:dyDescent="0.3">
      <c r="A400">
        <v>67311</v>
      </c>
      <c r="B400" s="1" t="s">
        <v>4</v>
      </c>
      <c r="C400" s="2">
        <v>43276</v>
      </c>
    </row>
    <row r="401" spans="1:3" x14ac:dyDescent="0.3">
      <c r="A401">
        <v>81854</v>
      </c>
      <c r="B401" s="1" t="s">
        <v>3</v>
      </c>
      <c r="C401" s="2">
        <v>43253</v>
      </c>
    </row>
    <row r="402" spans="1:3" x14ac:dyDescent="0.3">
      <c r="A402">
        <v>57761</v>
      </c>
      <c r="B402" s="1" t="s">
        <v>4</v>
      </c>
      <c r="C402" s="2">
        <v>43110</v>
      </c>
    </row>
    <row r="403" spans="1:3" x14ac:dyDescent="0.3">
      <c r="A403">
        <v>96723</v>
      </c>
      <c r="B403" s="1" t="s">
        <v>4</v>
      </c>
      <c r="C403" s="2">
        <v>43109</v>
      </c>
    </row>
    <row r="404" spans="1:3" x14ac:dyDescent="0.3">
      <c r="A404">
        <v>72944</v>
      </c>
      <c r="B404" s="1" t="s">
        <v>4</v>
      </c>
      <c r="C404" s="2">
        <v>43154</v>
      </c>
    </row>
    <row r="405" spans="1:3" x14ac:dyDescent="0.3">
      <c r="A405">
        <v>2726</v>
      </c>
      <c r="B405" s="1" t="s">
        <v>3</v>
      </c>
      <c r="C405" s="2">
        <v>43233</v>
      </c>
    </row>
    <row r="406" spans="1:3" x14ac:dyDescent="0.3">
      <c r="A406">
        <v>57167</v>
      </c>
      <c r="B406" s="1" t="s">
        <v>4</v>
      </c>
      <c r="C406" s="2">
        <v>43123</v>
      </c>
    </row>
    <row r="407" spans="1:3" x14ac:dyDescent="0.3">
      <c r="A407">
        <v>96648</v>
      </c>
      <c r="B407" s="1" t="s">
        <v>4</v>
      </c>
      <c r="C407" s="2">
        <v>43250</v>
      </c>
    </row>
    <row r="408" spans="1:3" x14ac:dyDescent="0.3">
      <c r="A408">
        <v>78217</v>
      </c>
      <c r="B408" s="1" t="s">
        <v>4</v>
      </c>
      <c r="C408" s="2">
        <v>43194</v>
      </c>
    </row>
    <row r="409" spans="1:3" x14ac:dyDescent="0.3">
      <c r="A409">
        <v>30111</v>
      </c>
      <c r="B409" s="1" t="s">
        <v>3</v>
      </c>
      <c r="C409" s="2">
        <v>43191</v>
      </c>
    </row>
    <row r="410" spans="1:3" x14ac:dyDescent="0.3">
      <c r="A410">
        <v>83131</v>
      </c>
      <c r="B410" s="1" t="s">
        <v>3</v>
      </c>
      <c r="C410" s="2">
        <v>43083</v>
      </c>
    </row>
    <row r="411" spans="1:3" x14ac:dyDescent="0.3">
      <c r="A411">
        <v>83170</v>
      </c>
      <c r="B411" s="1" t="s">
        <v>4</v>
      </c>
      <c r="C411" s="2">
        <v>43107</v>
      </c>
    </row>
    <row r="412" spans="1:3" x14ac:dyDescent="0.3">
      <c r="A412">
        <v>47781</v>
      </c>
      <c r="B412" s="1" t="s">
        <v>3</v>
      </c>
      <c r="C412" s="2">
        <v>43084</v>
      </c>
    </row>
    <row r="413" spans="1:3" x14ac:dyDescent="0.3">
      <c r="A413">
        <v>29051</v>
      </c>
      <c r="B413" s="1" t="s">
        <v>3</v>
      </c>
      <c r="C413" s="2">
        <v>43161</v>
      </c>
    </row>
    <row r="414" spans="1:3" x14ac:dyDescent="0.3">
      <c r="A414">
        <v>34890</v>
      </c>
      <c r="B414" s="1" t="s">
        <v>4</v>
      </c>
      <c r="C414" s="2">
        <v>43202</v>
      </c>
    </row>
    <row r="415" spans="1:3" x14ac:dyDescent="0.3">
      <c r="A415">
        <v>74266</v>
      </c>
      <c r="B415" s="1" t="s">
        <v>3</v>
      </c>
      <c r="C415" s="2">
        <v>43115</v>
      </c>
    </row>
    <row r="416" spans="1:3" x14ac:dyDescent="0.3">
      <c r="A416">
        <v>46072</v>
      </c>
      <c r="B416" s="1" t="s">
        <v>4</v>
      </c>
      <c r="C416" s="2">
        <v>43203</v>
      </c>
    </row>
    <row r="417" spans="1:3" x14ac:dyDescent="0.3">
      <c r="A417">
        <v>31252</v>
      </c>
      <c r="B417" s="1" t="s">
        <v>3</v>
      </c>
      <c r="C417" s="2">
        <v>43104</v>
      </c>
    </row>
    <row r="418" spans="1:3" x14ac:dyDescent="0.3">
      <c r="A418">
        <v>39774</v>
      </c>
      <c r="B418" s="1" t="s">
        <v>4</v>
      </c>
      <c r="C418" s="2">
        <v>43272</v>
      </c>
    </row>
    <row r="419" spans="1:3" x14ac:dyDescent="0.3">
      <c r="A419">
        <v>45634</v>
      </c>
      <c r="B419" s="1" t="s">
        <v>3</v>
      </c>
      <c r="C419" s="2">
        <v>43161</v>
      </c>
    </row>
    <row r="420" spans="1:3" x14ac:dyDescent="0.3">
      <c r="A420">
        <v>5409</v>
      </c>
      <c r="B420" s="1" t="s">
        <v>3</v>
      </c>
      <c r="C420" s="2">
        <v>43187</v>
      </c>
    </row>
    <row r="421" spans="1:3" x14ac:dyDescent="0.3">
      <c r="A421">
        <v>50220</v>
      </c>
      <c r="B421" s="1" t="s">
        <v>3</v>
      </c>
      <c r="C421" s="2">
        <v>43266</v>
      </c>
    </row>
    <row r="422" spans="1:3" x14ac:dyDescent="0.3">
      <c r="A422">
        <v>14470</v>
      </c>
      <c r="B422" s="1" t="s">
        <v>3</v>
      </c>
      <c r="C422" s="2">
        <v>43112</v>
      </c>
    </row>
    <row r="423" spans="1:3" x14ac:dyDescent="0.3">
      <c r="A423">
        <v>69323</v>
      </c>
      <c r="B423" s="1" t="s">
        <v>4</v>
      </c>
      <c r="C423" s="2">
        <v>43149</v>
      </c>
    </row>
    <row r="424" spans="1:3" x14ac:dyDescent="0.3">
      <c r="A424">
        <v>28784</v>
      </c>
      <c r="B424" s="1" t="s">
        <v>3</v>
      </c>
      <c r="C424" s="2">
        <v>43170</v>
      </c>
    </row>
    <row r="425" spans="1:3" x14ac:dyDescent="0.3">
      <c r="A425">
        <v>36757</v>
      </c>
      <c r="B425" s="1" t="s">
        <v>4</v>
      </c>
      <c r="C425" s="2">
        <v>43272</v>
      </c>
    </row>
    <row r="426" spans="1:3" x14ac:dyDescent="0.3">
      <c r="A426">
        <v>21647</v>
      </c>
      <c r="B426" s="1" t="s">
        <v>3</v>
      </c>
      <c r="C426" s="2">
        <v>43099</v>
      </c>
    </row>
    <row r="427" spans="1:3" x14ac:dyDescent="0.3">
      <c r="A427">
        <v>61636</v>
      </c>
      <c r="B427" s="1" t="s">
        <v>4</v>
      </c>
      <c r="C427" s="2">
        <v>43092</v>
      </c>
    </row>
    <row r="428" spans="1:3" x14ac:dyDescent="0.3">
      <c r="A428">
        <v>58832</v>
      </c>
      <c r="B428" s="1" t="s">
        <v>3</v>
      </c>
      <c r="C428" s="2">
        <v>43263</v>
      </c>
    </row>
    <row r="429" spans="1:3" x14ac:dyDescent="0.3">
      <c r="A429">
        <v>70072</v>
      </c>
      <c r="B429" s="1" t="s">
        <v>3</v>
      </c>
      <c r="C429" s="2">
        <v>43252</v>
      </c>
    </row>
    <row r="430" spans="1:3" x14ac:dyDescent="0.3">
      <c r="A430">
        <v>59526</v>
      </c>
      <c r="B430" s="1" t="s">
        <v>3</v>
      </c>
      <c r="C430" s="2">
        <v>43146</v>
      </c>
    </row>
    <row r="431" spans="1:3" x14ac:dyDescent="0.3">
      <c r="A431">
        <v>87749</v>
      </c>
      <c r="B431" s="1" t="s">
        <v>3</v>
      </c>
      <c r="C431" s="2">
        <v>43115</v>
      </c>
    </row>
    <row r="432" spans="1:3" x14ac:dyDescent="0.3">
      <c r="A432">
        <v>86441</v>
      </c>
      <c r="B432" s="1" t="s">
        <v>3</v>
      </c>
      <c r="C432" s="2">
        <v>43224</v>
      </c>
    </row>
    <row r="433" spans="1:3" x14ac:dyDescent="0.3">
      <c r="A433">
        <v>1444</v>
      </c>
      <c r="B433" s="1" t="s">
        <v>3</v>
      </c>
      <c r="C433" s="2">
        <v>43230</v>
      </c>
    </row>
    <row r="434" spans="1:3" x14ac:dyDescent="0.3">
      <c r="A434">
        <v>73432</v>
      </c>
      <c r="B434" s="1" t="s">
        <v>3</v>
      </c>
      <c r="C434" s="2">
        <v>43170</v>
      </c>
    </row>
    <row r="435" spans="1:3" x14ac:dyDescent="0.3">
      <c r="A435">
        <v>46546</v>
      </c>
      <c r="B435" s="1" t="s">
        <v>4</v>
      </c>
      <c r="C435" s="2">
        <v>43179</v>
      </c>
    </row>
    <row r="436" spans="1:3" x14ac:dyDescent="0.3">
      <c r="A436">
        <v>30132</v>
      </c>
      <c r="B436" s="1" t="s">
        <v>3</v>
      </c>
      <c r="C436" s="2">
        <v>43176</v>
      </c>
    </row>
    <row r="437" spans="1:3" x14ac:dyDescent="0.3">
      <c r="A437">
        <v>50072</v>
      </c>
      <c r="B437" s="1" t="s">
        <v>4</v>
      </c>
      <c r="C437" s="2">
        <v>43113</v>
      </c>
    </row>
    <row r="438" spans="1:3" x14ac:dyDescent="0.3">
      <c r="A438">
        <v>99278</v>
      </c>
      <c r="B438" s="1" t="s">
        <v>4</v>
      </c>
      <c r="C438" s="2">
        <v>43113</v>
      </c>
    </row>
    <row r="439" spans="1:3" x14ac:dyDescent="0.3">
      <c r="A439">
        <v>43647</v>
      </c>
      <c r="B439" s="1" t="s">
        <v>4</v>
      </c>
      <c r="C439" s="2">
        <v>43098</v>
      </c>
    </row>
    <row r="440" spans="1:3" x14ac:dyDescent="0.3">
      <c r="A440">
        <v>89589</v>
      </c>
      <c r="B440" s="1" t="s">
        <v>3</v>
      </c>
      <c r="C440" s="2">
        <v>43227</v>
      </c>
    </row>
    <row r="441" spans="1:3" x14ac:dyDescent="0.3">
      <c r="A441">
        <v>42697</v>
      </c>
      <c r="B441" s="1" t="s">
        <v>3</v>
      </c>
      <c r="C441" s="2">
        <v>43159</v>
      </c>
    </row>
    <row r="442" spans="1:3" x14ac:dyDescent="0.3">
      <c r="A442">
        <v>59206</v>
      </c>
      <c r="B442" s="1" t="s">
        <v>4</v>
      </c>
      <c r="C442" s="2">
        <v>43227</v>
      </c>
    </row>
    <row r="443" spans="1:3" x14ac:dyDescent="0.3">
      <c r="A443">
        <v>5095</v>
      </c>
      <c r="B443" s="1" t="s">
        <v>3</v>
      </c>
      <c r="C443" s="2">
        <v>43191</v>
      </c>
    </row>
    <row r="444" spans="1:3" x14ac:dyDescent="0.3">
      <c r="A444">
        <v>14318</v>
      </c>
      <c r="B444" s="1" t="s">
        <v>3</v>
      </c>
      <c r="C444" s="2">
        <v>43279</v>
      </c>
    </row>
    <row r="445" spans="1:3" x14ac:dyDescent="0.3">
      <c r="A445">
        <v>46922</v>
      </c>
      <c r="B445" s="1" t="s">
        <v>4</v>
      </c>
      <c r="C445" s="2">
        <v>43238</v>
      </c>
    </row>
    <row r="446" spans="1:3" x14ac:dyDescent="0.3">
      <c r="A446">
        <v>12691</v>
      </c>
      <c r="B446" s="1" t="s">
        <v>3</v>
      </c>
      <c r="C446" s="2">
        <v>43256</v>
      </c>
    </row>
    <row r="447" spans="1:3" x14ac:dyDescent="0.3">
      <c r="A447">
        <v>30661</v>
      </c>
      <c r="B447" s="1" t="s">
        <v>3</v>
      </c>
      <c r="C447" s="2">
        <v>43119</v>
      </c>
    </row>
    <row r="448" spans="1:3" x14ac:dyDescent="0.3">
      <c r="A448">
        <v>40907</v>
      </c>
      <c r="B448" s="1" t="s">
        <v>3</v>
      </c>
      <c r="C448" s="2">
        <v>43215</v>
      </c>
    </row>
    <row r="449" spans="1:3" x14ac:dyDescent="0.3">
      <c r="A449">
        <v>55044</v>
      </c>
      <c r="B449" s="1" t="s">
        <v>4</v>
      </c>
      <c r="C449" s="2">
        <v>43215</v>
      </c>
    </row>
    <row r="450" spans="1:3" x14ac:dyDescent="0.3">
      <c r="A450">
        <v>16900</v>
      </c>
      <c r="B450" s="1" t="s">
        <v>3</v>
      </c>
      <c r="C450" s="2">
        <v>43274</v>
      </c>
    </row>
    <row r="451" spans="1:3" x14ac:dyDescent="0.3">
      <c r="A451">
        <v>93072</v>
      </c>
      <c r="B451" s="1" t="s">
        <v>4</v>
      </c>
      <c r="C451" s="2">
        <v>43258</v>
      </c>
    </row>
    <row r="452" spans="1:3" x14ac:dyDescent="0.3">
      <c r="A452">
        <v>86060</v>
      </c>
      <c r="B452" s="1" t="s">
        <v>4</v>
      </c>
      <c r="C452" s="2">
        <v>43133</v>
      </c>
    </row>
    <row r="453" spans="1:3" x14ac:dyDescent="0.3">
      <c r="A453">
        <v>15014</v>
      </c>
      <c r="B453" s="1" t="s">
        <v>3</v>
      </c>
      <c r="C453" s="2">
        <v>43090</v>
      </c>
    </row>
    <row r="454" spans="1:3" x14ac:dyDescent="0.3">
      <c r="A454">
        <v>20905</v>
      </c>
      <c r="B454" s="1" t="s">
        <v>3</v>
      </c>
      <c r="C454" s="2">
        <v>43133</v>
      </c>
    </row>
    <row r="455" spans="1:3" x14ac:dyDescent="0.3">
      <c r="A455">
        <v>72377</v>
      </c>
      <c r="B455" s="1" t="s">
        <v>4</v>
      </c>
      <c r="C455" s="2">
        <v>43095</v>
      </c>
    </row>
    <row r="456" spans="1:3" x14ac:dyDescent="0.3">
      <c r="A456">
        <v>93252</v>
      </c>
      <c r="B456" s="1" t="s">
        <v>4</v>
      </c>
      <c r="C456" s="2">
        <v>43115</v>
      </c>
    </row>
    <row r="457" spans="1:3" x14ac:dyDescent="0.3">
      <c r="A457">
        <v>97684</v>
      </c>
      <c r="B457" s="1" t="s">
        <v>4</v>
      </c>
      <c r="C457" s="2">
        <v>43132</v>
      </c>
    </row>
    <row r="458" spans="1:3" x14ac:dyDescent="0.3">
      <c r="A458">
        <v>20762</v>
      </c>
      <c r="B458" s="1" t="s">
        <v>3</v>
      </c>
      <c r="C458" s="2">
        <v>43203</v>
      </c>
    </row>
    <row r="459" spans="1:3" x14ac:dyDescent="0.3">
      <c r="A459">
        <v>59300</v>
      </c>
      <c r="B459" s="1" t="s">
        <v>3</v>
      </c>
      <c r="C459" s="2">
        <v>43250</v>
      </c>
    </row>
    <row r="460" spans="1:3" x14ac:dyDescent="0.3">
      <c r="A460">
        <v>32211</v>
      </c>
      <c r="B460" s="1" t="s">
        <v>4</v>
      </c>
      <c r="C460" s="2">
        <v>43201</v>
      </c>
    </row>
    <row r="461" spans="1:3" x14ac:dyDescent="0.3">
      <c r="A461">
        <v>74217</v>
      </c>
      <c r="B461" s="1" t="s">
        <v>3</v>
      </c>
      <c r="C461" s="2">
        <v>43205</v>
      </c>
    </row>
    <row r="462" spans="1:3" x14ac:dyDescent="0.3">
      <c r="A462">
        <v>34964</v>
      </c>
      <c r="B462" s="1" t="s">
        <v>4</v>
      </c>
      <c r="C462" s="2">
        <v>43201</v>
      </c>
    </row>
    <row r="463" spans="1:3" x14ac:dyDescent="0.3">
      <c r="A463">
        <v>99943</v>
      </c>
      <c r="B463" s="1" t="s">
        <v>3</v>
      </c>
      <c r="C463" s="2">
        <v>43139</v>
      </c>
    </row>
    <row r="464" spans="1:3" x14ac:dyDescent="0.3">
      <c r="A464">
        <v>54798</v>
      </c>
      <c r="B464" s="1" t="s">
        <v>3</v>
      </c>
      <c r="C464" s="2">
        <v>43082</v>
      </c>
    </row>
    <row r="465" spans="1:3" x14ac:dyDescent="0.3">
      <c r="A465">
        <v>70600</v>
      </c>
      <c r="B465" s="1" t="s">
        <v>3</v>
      </c>
      <c r="C465" s="2">
        <v>43195</v>
      </c>
    </row>
    <row r="466" spans="1:3" x14ac:dyDescent="0.3">
      <c r="A466">
        <v>78595</v>
      </c>
      <c r="B466" s="1" t="s">
        <v>4</v>
      </c>
      <c r="C466" s="2">
        <v>43083</v>
      </c>
    </row>
    <row r="467" spans="1:3" x14ac:dyDescent="0.3">
      <c r="A467">
        <v>72060</v>
      </c>
      <c r="B467" s="1" t="s">
        <v>3</v>
      </c>
      <c r="C467" s="2">
        <v>43122</v>
      </c>
    </row>
    <row r="468" spans="1:3" x14ac:dyDescent="0.3">
      <c r="A468">
        <v>85286</v>
      </c>
      <c r="B468" s="1" t="s">
        <v>4</v>
      </c>
      <c r="C468" s="2">
        <v>43226</v>
      </c>
    </row>
    <row r="469" spans="1:3" x14ac:dyDescent="0.3">
      <c r="A469">
        <v>65954</v>
      </c>
      <c r="B469" s="1" t="s">
        <v>3</v>
      </c>
      <c r="C469" s="2">
        <v>43139</v>
      </c>
    </row>
    <row r="470" spans="1:3" x14ac:dyDescent="0.3">
      <c r="A470">
        <v>41398</v>
      </c>
      <c r="B470" s="1" t="s">
        <v>3</v>
      </c>
      <c r="C470" s="2">
        <v>43135</v>
      </c>
    </row>
    <row r="471" spans="1:3" x14ac:dyDescent="0.3">
      <c r="A471">
        <v>86107</v>
      </c>
      <c r="B471" s="1" t="s">
        <v>4</v>
      </c>
      <c r="C471" s="2">
        <v>43165</v>
      </c>
    </row>
    <row r="472" spans="1:3" x14ac:dyDescent="0.3">
      <c r="A472">
        <v>50279</v>
      </c>
      <c r="B472" s="1" t="s">
        <v>3</v>
      </c>
      <c r="C472" s="2">
        <v>43235</v>
      </c>
    </row>
    <row r="473" spans="1:3" x14ac:dyDescent="0.3">
      <c r="A473">
        <v>35693</v>
      </c>
      <c r="B473" s="1" t="s">
        <v>3</v>
      </c>
      <c r="C473" s="2">
        <v>43082</v>
      </c>
    </row>
    <row r="474" spans="1:3" x14ac:dyDescent="0.3">
      <c r="A474">
        <v>85900</v>
      </c>
      <c r="B474" s="1" t="s">
        <v>4</v>
      </c>
      <c r="C474" s="2">
        <v>43185</v>
      </c>
    </row>
    <row r="475" spans="1:3" x14ac:dyDescent="0.3">
      <c r="A475">
        <v>33458</v>
      </c>
      <c r="B475" s="1" t="s">
        <v>4</v>
      </c>
      <c r="C475" s="2">
        <v>43228</v>
      </c>
    </row>
    <row r="476" spans="1:3" x14ac:dyDescent="0.3">
      <c r="A476">
        <v>58467</v>
      </c>
      <c r="B476" s="1" t="s">
        <v>4</v>
      </c>
      <c r="C476" s="2">
        <v>43239</v>
      </c>
    </row>
    <row r="477" spans="1:3" x14ac:dyDescent="0.3">
      <c r="A477">
        <v>92349</v>
      </c>
      <c r="B477" s="1" t="s">
        <v>3</v>
      </c>
      <c r="C477" s="2">
        <v>43279</v>
      </c>
    </row>
    <row r="478" spans="1:3" x14ac:dyDescent="0.3">
      <c r="A478">
        <v>71574</v>
      </c>
      <c r="B478" s="1" t="s">
        <v>3</v>
      </c>
      <c r="C478" s="2">
        <v>43279</v>
      </c>
    </row>
    <row r="479" spans="1:3" x14ac:dyDescent="0.3">
      <c r="A479">
        <v>92733</v>
      </c>
      <c r="B479" s="1" t="s">
        <v>4</v>
      </c>
      <c r="C479" s="2">
        <v>43273</v>
      </c>
    </row>
    <row r="480" spans="1:3" x14ac:dyDescent="0.3">
      <c r="A480">
        <v>79807</v>
      </c>
      <c r="B480" s="1" t="s">
        <v>4</v>
      </c>
      <c r="C480" s="2">
        <v>43118</v>
      </c>
    </row>
    <row r="481" spans="1:3" x14ac:dyDescent="0.3">
      <c r="A481">
        <v>75592</v>
      </c>
      <c r="B481" s="1" t="s">
        <v>4</v>
      </c>
      <c r="C481" s="2">
        <v>43170</v>
      </c>
    </row>
    <row r="482" spans="1:3" x14ac:dyDescent="0.3">
      <c r="A482">
        <v>99536</v>
      </c>
      <c r="B482" s="1" t="s">
        <v>4</v>
      </c>
      <c r="C482" s="2">
        <v>43233</v>
      </c>
    </row>
    <row r="483" spans="1:3" x14ac:dyDescent="0.3">
      <c r="A483">
        <v>73476</v>
      </c>
      <c r="B483" s="1" t="s">
        <v>3</v>
      </c>
      <c r="C483" s="2">
        <v>43210</v>
      </c>
    </row>
    <row r="484" spans="1:3" x14ac:dyDescent="0.3">
      <c r="A484">
        <v>40393</v>
      </c>
      <c r="B484" s="1" t="s">
        <v>4</v>
      </c>
      <c r="C484" s="2">
        <v>43102</v>
      </c>
    </row>
    <row r="485" spans="1:3" x14ac:dyDescent="0.3">
      <c r="A485">
        <v>55867</v>
      </c>
      <c r="B485" s="1" t="s">
        <v>4</v>
      </c>
      <c r="C485" s="2">
        <v>43244</v>
      </c>
    </row>
    <row r="486" spans="1:3" x14ac:dyDescent="0.3">
      <c r="A486">
        <v>99467</v>
      </c>
      <c r="B486" s="1" t="s">
        <v>3</v>
      </c>
      <c r="C486" s="2">
        <v>43212</v>
      </c>
    </row>
    <row r="487" spans="1:3" x14ac:dyDescent="0.3">
      <c r="A487">
        <v>39906</v>
      </c>
      <c r="B487" s="1" t="s">
        <v>3</v>
      </c>
      <c r="C487" s="2">
        <v>43229</v>
      </c>
    </row>
    <row r="488" spans="1:3" x14ac:dyDescent="0.3">
      <c r="A488">
        <v>51086</v>
      </c>
      <c r="B488" s="1" t="s">
        <v>3</v>
      </c>
      <c r="C488" s="2">
        <v>43188</v>
      </c>
    </row>
    <row r="489" spans="1:3" x14ac:dyDescent="0.3">
      <c r="A489">
        <v>97586</v>
      </c>
      <c r="B489" s="1" t="s">
        <v>3</v>
      </c>
      <c r="C489" s="2">
        <v>43259</v>
      </c>
    </row>
    <row r="490" spans="1:3" x14ac:dyDescent="0.3">
      <c r="A490">
        <v>4617</v>
      </c>
      <c r="B490" s="1" t="s">
        <v>3</v>
      </c>
      <c r="C490" s="2">
        <v>43104</v>
      </c>
    </row>
    <row r="491" spans="1:3" x14ac:dyDescent="0.3">
      <c r="A491">
        <v>95784</v>
      </c>
      <c r="B491" s="1" t="s">
        <v>4</v>
      </c>
      <c r="C491" s="2">
        <v>43156</v>
      </c>
    </row>
    <row r="492" spans="1:3" x14ac:dyDescent="0.3">
      <c r="A492">
        <v>93587</v>
      </c>
      <c r="B492" s="1" t="s">
        <v>4</v>
      </c>
      <c r="C492" s="2">
        <v>43161</v>
      </c>
    </row>
    <row r="493" spans="1:3" x14ac:dyDescent="0.3">
      <c r="A493">
        <v>69884</v>
      </c>
      <c r="B493" s="1" t="s">
        <v>3</v>
      </c>
      <c r="C493" s="2">
        <v>43180</v>
      </c>
    </row>
    <row r="494" spans="1:3" x14ac:dyDescent="0.3">
      <c r="A494">
        <v>75792</v>
      </c>
      <c r="B494" s="1" t="s">
        <v>4</v>
      </c>
      <c r="C494" s="2">
        <v>43221</v>
      </c>
    </row>
    <row r="495" spans="1:3" x14ac:dyDescent="0.3">
      <c r="A495">
        <v>60608</v>
      </c>
      <c r="B495" s="1" t="s">
        <v>4</v>
      </c>
      <c r="C495" s="2">
        <v>43092</v>
      </c>
    </row>
    <row r="496" spans="1:3" x14ac:dyDescent="0.3">
      <c r="A496">
        <v>39790</v>
      </c>
      <c r="B496" s="1" t="s">
        <v>4</v>
      </c>
      <c r="C496" s="2">
        <v>43139</v>
      </c>
    </row>
    <row r="497" spans="1:3" x14ac:dyDescent="0.3">
      <c r="A497">
        <v>37977</v>
      </c>
      <c r="B497" s="1" t="s">
        <v>4</v>
      </c>
      <c r="C497" s="2">
        <v>43106</v>
      </c>
    </row>
    <row r="498" spans="1:3" x14ac:dyDescent="0.3">
      <c r="A498">
        <v>71858</v>
      </c>
      <c r="B498" s="1" t="s">
        <v>3</v>
      </c>
      <c r="C498" s="2">
        <v>43113</v>
      </c>
    </row>
    <row r="499" spans="1:3" x14ac:dyDescent="0.3">
      <c r="A499">
        <v>32796</v>
      </c>
      <c r="B499" s="1" t="s">
        <v>3</v>
      </c>
      <c r="C499" s="2">
        <v>43163</v>
      </c>
    </row>
    <row r="500" spans="1:3" x14ac:dyDescent="0.3">
      <c r="A500">
        <v>72228</v>
      </c>
      <c r="B500" s="1" t="s">
        <v>3</v>
      </c>
      <c r="C500" s="2">
        <v>43262</v>
      </c>
    </row>
    <row r="501" spans="1:3" x14ac:dyDescent="0.3">
      <c r="A501">
        <v>81740</v>
      </c>
      <c r="B501" s="1" t="s">
        <v>4</v>
      </c>
      <c r="C501" s="2">
        <v>43156</v>
      </c>
    </row>
    <row r="502" spans="1:3" x14ac:dyDescent="0.3">
      <c r="A502">
        <v>76129</v>
      </c>
      <c r="B502" s="1" t="s">
        <v>3</v>
      </c>
      <c r="C502" s="2">
        <v>43178</v>
      </c>
    </row>
    <row r="503" spans="1:3" x14ac:dyDescent="0.3">
      <c r="A503">
        <v>64801</v>
      </c>
      <c r="B503" s="1" t="s">
        <v>4</v>
      </c>
      <c r="C503" s="2">
        <v>43155</v>
      </c>
    </row>
    <row r="504" spans="1:3" x14ac:dyDescent="0.3">
      <c r="A504">
        <v>84876</v>
      </c>
      <c r="B504" s="1" t="s">
        <v>4</v>
      </c>
      <c r="C504" s="2">
        <v>43146</v>
      </c>
    </row>
    <row r="505" spans="1:3" x14ac:dyDescent="0.3">
      <c r="A505">
        <v>64693</v>
      </c>
      <c r="B505" s="1" t="s">
        <v>3</v>
      </c>
      <c r="C505" s="2">
        <v>43105</v>
      </c>
    </row>
    <row r="506" spans="1:3" x14ac:dyDescent="0.3">
      <c r="A506">
        <v>86977</v>
      </c>
      <c r="B506" s="1" t="s">
        <v>4</v>
      </c>
      <c r="C506" s="2">
        <v>43103</v>
      </c>
    </row>
    <row r="507" spans="1:3" x14ac:dyDescent="0.3">
      <c r="A507">
        <v>37402</v>
      </c>
      <c r="B507" s="1" t="s">
        <v>4</v>
      </c>
      <c r="C507" s="2">
        <v>43173</v>
      </c>
    </row>
    <row r="508" spans="1:3" x14ac:dyDescent="0.3">
      <c r="A508">
        <v>62618</v>
      </c>
      <c r="B508" s="1" t="s">
        <v>4</v>
      </c>
      <c r="C508" s="2">
        <v>43279</v>
      </c>
    </row>
    <row r="509" spans="1:3" x14ac:dyDescent="0.3">
      <c r="A509">
        <v>41979</v>
      </c>
      <c r="B509" s="1" t="s">
        <v>4</v>
      </c>
      <c r="C509" s="2">
        <v>43173</v>
      </c>
    </row>
    <row r="510" spans="1:3" x14ac:dyDescent="0.3">
      <c r="A510">
        <v>93975</v>
      </c>
      <c r="B510" s="1" t="s">
        <v>3</v>
      </c>
      <c r="C510" s="2">
        <v>43257</v>
      </c>
    </row>
    <row r="511" spans="1:3" x14ac:dyDescent="0.3">
      <c r="A511">
        <v>71971</v>
      </c>
      <c r="B511" s="1" t="s">
        <v>4</v>
      </c>
      <c r="C511" s="2">
        <v>43154</v>
      </c>
    </row>
    <row r="512" spans="1:3" x14ac:dyDescent="0.3">
      <c r="A512">
        <v>91088</v>
      </c>
      <c r="B512" s="1" t="s">
        <v>4</v>
      </c>
      <c r="C512" s="2">
        <v>43189</v>
      </c>
    </row>
    <row r="513" spans="1:3" x14ac:dyDescent="0.3">
      <c r="A513">
        <v>82875</v>
      </c>
      <c r="B513" s="1" t="s">
        <v>3</v>
      </c>
      <c r="C513" s="2">
        <v>43184</v>
      </c>
    </row>
    <row r="514" spans="1:3" x14ac:dyDescent="0.3">
      <c r="A514">
        <v>53193</v>
      </c>
      <c r="B514" s="1" t="s">
        <v>4</v>
      </c>
      <c r="C514" s="2">
        <v>43143</v>
      </c>
    </row>
    <row r="515" spans="1:3" x14ac:dyDescent="0.3">
      <c r="A515">
        <v>56995</v>
      </c>
      <c r="B515" s="1" t="s">
        <v>3</v>
      </c>
      <c r="C515" s="2">
        <v>43097</v>
      </c>
    </row>
    <row r="516" spans="1:3" x14ac:dyDescent="0.3">
      <c r="A516">
        <v>75536</v>
      </c>
      <c r="B516" s="1" t="s">
        <v>4</v>
      </c>
      <c r="C516" s="2">
        <v>43203</v>
      </c>
    </row>
    <row r="517" spans="1:3" x14ac:dyDescent="0.3">
      <c r="A517">
        <v>72800</v>
      </c>
      <c r="B517" s="1" t="s">
        <v>3</v>
      </c>
      <c r="C517" s="2">
        <v>43272</v>
      </c>
    </row>
    <row r="518" spans="1:3" x14ac:dyDescent="0.3">
      <c r="A518">
        <v>55104</v>
      </c>
      <c r="B518" s="1" t="s">
        <v>4</v>
      </c>
      <c r="C518" s="2">
        <v>43235</v>
      </c>
    </row>
    <row r="519" spans="1:3" x14ac:dyDescent="0.3">
      <c r="A519">
        <v>39628</v>
      </c>
      <c r="B519" s="1" t="s">
        <v>4</v>
      </c>
      <c r="C519" s="2">
        <v>43280</v>
      </c>
    </row>
    <row r="520" spans="1:3" x14ac:dyDescent="0.3">
      <c r="A520">
        <v>37518</v>
      </c>
      <c r="B520" s="1" t="s">
        <v>4</v>
      </c>
      <c r="C520" s="2">
        <v>43145</v>
      </c>
    </row>
    <row r="521" spans="1:3" x14ac:dyDescent="0.3">
      <c r="A521">
        <v>62663</v>
      </c>
      <c r="B521" s="1" t="s">
        <v>4</v>
      </c>
      <c r="C521" s="2">
        <v>43197</v>
      </c>
    </row>
    <row r="522" spans="1:3" x14ac:dyDescent="0.3">
      <c r="A522">
        <v>86399</v>
      </c>
      <c r="B522" s="1" t="s">
        <v>4</v>
      </c>
      <c r="C522" s="2">
        <v>43225</v>
      </c>
    </row>
    <row r="523" spans="1:3" x14ac:dyDescent="0.3">
      <c r="A523">
        <v>40222</v>
      </c>
      <c r="B523" s="1" t="s">
        <v>4</v>
      </c>
      <c r="C523" s="2">
        <v>43140</v>
      </c>
    </row>
    <row r="524" spans="1:3" x14ac:dyDescent="0.3">
      <c r="A524">
        <v>71290</v>
      </c>
      <c r="B524" s="1" t="s">
        <v>3</v>
      </c>
      <c r="C524" s="2">
        <v>43215</v>
      </c>
    </row>
    <row r="525" spans="1:3" x14ac:dyDescent="0.3">
      <c r="A525">
        <v>68544</v>
      </c>
      <c r="B525" s="1" t="s">
        <v>3</v>
      </c>
      <c r="C525" s="2">
        <v>43188</v>
      </c>
    </row>
    <row r="526" spans="1:3" x14ac:dyDescent="0.3">
      <c r="A526">
        <v>34879</v>
      </c>
      <c r="B526" s="1" t="s">
        <v>4</v>
      </c>
      <c r="C526" s="2">
        <v>43205</v>
      </c>
    </row>
    <row r="527" spans="1:3" x14ac:dyDescent="0.3">
      <c r="A527">
        <v>45284</v>
      </c>
      <c r="B527" s="1" t="s">
        <v>3</v>
      </c>
      <c r="C527" s="2">
        <v>43217</v>
      </c>
    </row>
    <row r="528" spans="1:3" x14ac:dyDescent="0.3">
      <c r="A528">
        <v>66750</v>
      </c>
      <c r="B528" s="1" t="s">
        <v>3</v>
      </c>
      <c r="C528" s="2">
        <v>43215</v>
      </c>
    </row>
    <row r="529" spans="1:3" x14ac:dyDescent="0.3">
      <c r="A529">
        <v>39341</v>
      </c>
      <c r="B529" s="1" t="s">
        <v>3</v>
      </c>
      <c r="C529" s="2">
        <v>43142</v>
      </c>
    </row>
    <row r="530" spans="1:3" x14ac:dyDescent="0.3">
      <c r="A530">
        <v>75156</v>
      </c>
      <c r="B530" s="1" t="s">
        <v>4</v>
      </c>
      <c r="C530" s="2">
        <v>43262</v>
      </c>
    </row>
    <row r="531" spans="1:3" x14ac:dyDescent="0.3">
      <c r="A531">
        <v>32836</v>
      </c>
      <c r="B531" s="1" t="s">
        <v>3</v>
      </c>
      <c r="C531" s="2">
        <v>43187</v>
      </c>
    </row>
    <row r="532" spans="1:3" x14ac:dyDescent="0.3">
      <c r="A532">
        <v>5926</v>
      </c>
      <c r="B532" s="1" t="s">
        <v>3</v>
      </c>
      <c r="C532" s="2">
        <v>43188</v>
      </c>
    </row>
    <row r="533" spans="1:3" x14ac:dyDescent="0.3">
      <c r="A533">
        <v>21379</v>
      </c>
      <c r="B533" s="1" t="s">
        <v>3</v>
      </c>
      <c r="C533" s="2">
        <v>43175</v>
      </c>
    </row>
    <row r="534" spans="1:3" x14ac:dyDescent="0.3">
      <c r="A534">
        <v>75812</v>
      </c>
      <c r="B534" s="1" t="s">
        <v>4</v>
      </c>
      <c r="C534" s="2">
        <v>43213</v>
      </c>
    </row>
    <row r="535" spans="1:3" x14ac:dyDescent="0.3">
      <c r="A535">
        <v>90890</v>
      </c>
      <c r="B535" s="1" t="s">
        <v>3</v>
      </c>
      <c r="C535" s="2">
        <v>43136</v>
      </c>
    </row>
    <row r="536" spans="1:3" x14ac:dyDescent="0.3">
      <c r="A536">
        <v>74247</v>
      </c>
      <c r="B536" s="1" t="s">
        <v>4</v>
      </c>
      <c r="C536" s="2">
        <v>43227</v>
      </c>
    </row>
    <row r="537" spans="1:3" x14ac:dyDescent="0.3">
      <c r="A537">
        <v>60538</v>
      </c>
      <c r="B537" s="1" t="s">
        <v>4</v>
      </c>
      <c r="C537" s="2">
        <v>43272</v>
      </c>
    </row>
    <row r="538" spans="1:3" x14ac:dyDescent="0.3">
      <c r="A538">
        <v>89013</v>
      </c>
      <c r="B538" s="1" t="s">
        <v>4</v>
      </c>
      <c r="C538" s="2">
        <v>43222</v>
      </c>
    </row>
    <row r="539" spans="1:3" x14ac:dyDescent="0.3">
      <c r="A539">
        <v>97353</v>
      </c>
      <c r="B539" s="1" t="s">
        <v>4</v>
      </c>
      <c r="C539" s="2">
        <v>43238</v>
      </c>
    </row>
    <row r="540" spans="1:3" x14ac:dyDescent="0.3">
      <c r="A540">
        <v>63936</v>
      </c>
      <c r="B540" s="1" t="s">
        <v>4</v>
      </c>
      <c r="C540" s="2">
        <v>43207</v>
      </c>
    </row>
    <row r="541" spans="1:3" x14ac:dyDescent="0.3">
      <c r="A541">
        <v>9099</v>
      </c>
      <c r="B541" s="1" t="s">
        <v>3</v>
      </c>
      <c r="C541" s="2">
        <v>43094</v>
      </c>
    </row>
    <row r="542" spans="1:3" x14ac:dyDescent="0.3">
      <c r="A542">
        <v>35272</v>
      </c>
      <c r="B542" s="1" t="s">
        <v>3</v>
      </c>
      <c r="C542" s="2">
        <v>43203</v>
      </c>
    </row>
    <row r="543" spans="1:3" x14ac:dyDescent="0.3">
      <c r="A543">
        <v>13550</v>
      </c>
      <c r="B543" s="1" t="s">
        <v>3</v>
      </c>
      <c r="C543" s="2">
        <v>43238</v>
      </c>
    </row>
    <row r="544" spans="1:3" x14ac:dyDescent="0.3">
      <c r="A544">
        <v>79551</v>
      </c>
      <c r="B544" s="1" t="s">
        <v>3</v>
      </c>
      <c r="C544" s="2">
        <v>43217</v>
      </c>
    </row>
    <row r="545" spans="1:3" x14ac:dyDescent="0.3">
      <c r="A545">
        <v>82360</v>
      </c>
      <c r="B545" s="1" t="s">
        <v>4</v>
      </c>
      <c r="C545" s="2">
        <v>43132</v>
      </c>
    </row>
    <row r="546" spans="1:3" x14ac:dyDescent="0.3">
      <c r="A546">
        <v>80723</v>
      </c>
      <c r="B546" s="1" t="s">
        <v>3</v>
      </c>
      <c r="C546" s="2">
        <v>43129</v>
      </c>
    </row>
    <row r="547" spans="1:3" x14ac:dyDescent="0.3">
      <c r="A547">
        <v>87947</v>
      </c>
      <c r="B547" s="1" t="s">
        <v>3</v>
      </c>
      <c r="C547" s="2">
        <v>43129</v>
      </c>
    </row>
    <row r="548" spans="1:3" x14ac:dyDescent="0.3">
      <c r="A548">
        <v>58289</v>
      </c>
      <c r="B548" s="1" t="s">
        <v>3</v>
      </c>
      <c r="C548" s="2">
        <v>43179</v>
      </c>
    </row>
    <row r="549" spans="1:3" x14ac:dyDescent="0.3">
      <c r="A549">
        <v>59641</v>
      </c>
      <c r="B549" s="1" t="s">
        <v>3</v>
      </c>
      <c r="C549" s="2">
        <v>43208</v>
      </c>
    </row>
    <row r="550" spans="1:3" x14ac:dyDescent="0.3">
      <c r="A550">
        <v>40124</v>
      </c>
      <c r="B550" s="1" t="s">
        <v>3</v>
      </c>
      <c r="C550" s="2">
        <v>43252</v>
      </c>
    </row>
    <row r="551" spans="1:3" x14ac:dyDescent="0.3">
      <c r="A551">
        <v>90216</v>
      </c>
      <c r="B551" s="1" t="s">
        <v>3</v>
      </c>
      <c r="C551" s="2">
        <v>43111</v>
      </c>
    </row>
    <row r="552" spans="1:3" x14ac:dyDescent="0.3">
      <c r="A552">
        <v>14333</v>
      </c>
      <c r="B552" s="1" t="s">
        <v>3</v>
      </c>
      <c r="C552" s="2">
        <v>43218</v>
      </c>
    </row>
    <row r="553" spans="1:3" x14ac:dyDescent="0.3">
      <c r="A553">
        <v>32198</v>
      </c>
      <c r="B553" s="1" t="s">
        <v>4</v>
      </c>
      <c r="C553" s="2">
        <v>43173</v>
      </c>
    </row>
    <row r="554" spans="1:3" x14ac:dyDescent="0.3">
      <c r="A554">
        <v>65913</v>
      </c>
      <c r="B554" s="1" t="s">
        <v>3</v>
      </c>
      <c r="C554" s="2">
        <v>43248</v>
      </c>
    </row>
    <row r="555" spans="1:3" x14ac:dyDescent="0.3">
      <c r="A555">
        <v>33074</v>
      </c>
      <c r="B555" s="1" t="s">
        <v>4</v>
      </c>
      <c r="C555" s="2">
        <v>43277</v>
      </c>
    </row>
    <row r="556" spans="1:3" x14ac:dyDescent="0.3">
      <c r="A556">
        <v>43334</v>
      </c>
      <c r="B556" s="1" t="s">
        <v>4</v>
      </c>
      <c r="C556" s="2">
        <v>43224</v>
      </c>
    </row>
    <row r="557" spans="1:3" x14ac:dyDescent="0.3">
      <c r="A557">
        <v>52059</v>
      </c>
      <c r="B557" s="1" t="s">
        <v>4</v>
      </c>
      <c r="C557" s="2">
        <v>43158</v>
      </c>
    </row>
    <row r="558" spans="1:3" x14ac:dyDescent="0.3">
      <c r="A558">
        <v>55393</v>
      </c>
      <c r="B558" s="1" t="s">
        <v>4</v>
      </c>
      <c r="C558" s="2">
        <v>43129</v>
      </c>
    </row>
    <row r="559" spans="1:3" x14ac:dyDescent="0.3">
      <c r="A559">
        <v>78511</v>
      </c>
      <c r="B559" s="1" t="s">
        <v>4</v>
      </c>
      <c r="C559" s="2">
        <v>43274</v>
      </c>
    </row>
    <row r="560" spans="1:3" x14ac:dyDescent="0.3">
      <c r="A560">
        <v>36634</v>
      </c>
      <c r="B560" s="1" t="s">
        <v>3</v>
      </c>
      <c r="C560" s="2">
        <v>43225</v>
      </c>
    </row>
    <row r="561" spans="1:3" x14ac:dyDescent="0.3">
      <c r="A561">
        <v>72214</v>
      </c>
      <c r="B561" s="1" t="s">
        <v>4</v>
      </c>
      <c r="C561" s="2">
        <v>43204</v>
      </c>
    </row>
    <row r="562" spans="1:3" x14ac:dyDescent="0.3">
      <c r="A562">
        <v>77359</v>
      </c>
      <c r="B562" s="1" t="s">
        <v>3</v>
      </c>
      <c r="C562" s="2">
        <v>43149</v>
      </c>
    </row>
    <row r="563" spans="1:3" x14ac:dyDescent="0.3">
      <c r="A563">
        <v>66402</v>
      </c>
      <c r="B563" s="1" t="s">
        <v>4</v>
      </c>
      <c r="C563" s="2">
        <v>43083</v>
      </c>
    </row>
    <row r="564" spans="1:3" x14ac:dyDescent="0.3">
      <c r="A564">
        <v>49208</v>
      </c>
      <c r="B564" s="1" t="s">
        <v>4</v>
      </c>
      <c r="C564" s="2">
        <v>43219</v>
      </c>
    </row>
    <row r="565" spans="1:3" x14ac:dyDescent="0.3">
      <c r="A565">
        <v>17063</v>
      </c>
      <c r="B565" s="1" t="s">
        <v>3</v>
      </c>
      <c r="C565" s="2">
        <v>43238</v>
      </c>
    </row>
    <row r="566" spans="1:3" x14ac:dyDescent="0.3">
      <c r="A566">
        <v>35442</v>
      </c>
      <c r="B566" s="1" t="s">
        <v>3</v>
      </c>
      <c r="C566" s="2">
        <v>43246</v>
      </c>
    </row>
    <row r="567" spans="1:3" x14ac:dyDescent="0.3">
      <c r="A567">
        <v>22187</v>
      </c>
      <c r="B567" s="1" t="s">
        <v>3</v>
      </c>
      <c r="C567" s="2">
        <v>43094</v>
      </c>
    </row>
    <row r="568" spans="1:3" x14ac:dyDescent="0.3">
      <c r="A568">
        <v>52038</v>
      </c>
      <c r="B568" s="1" t="s">
        <v>3</v>
      </c>
      <c r="C568" s="2">
        <v>43230</v>
      </c>
    </row>
    <row r="569" spans="1:3" x14ac:dyDescent="0.3">
      <c r="A569">
        <v>52030</v>
      </c>
      <c r="B569" s="1" t="s">
        <v>4</v>
      </c>
      <c r="C569" s="2">
        <v>43243</v>
      </c>
    </row>
    <row r="570" spans="1:3" x14ac:dyDescent="0.3">
      <c r="A570">
        <v>66312</v>
      </c>
      <c r="B570" s="1" t="s">
        <v>4</v>
      </c>
      <c r="C570" s="2">
        <v>43218</v>
      </c>
    </row>
    <row r="571" spans="1:3" x14ac:dyDescent="0.3">
      <c r="A571">
        <v>55943</v>
      </c>
      <c r="B571" s="1" t="s">
        <v>3</v>
      </c>
      <c r="C571" s="2">
        <v>43174</v>
      </c>
    </row>
    <row r="572" spans="1:3" x14ac:dyDescent="0.3">
      <c r="A572">
        <v>51453</v>
      </c>
      <c r="B572" s="1" t="s">
        <v>3</v>
      </c>
      <c r="C572" s="2">
        <v>43202</v>
      </c>
    </row>
    <row r="573" spans="1:3" x14ac:dyDescent="0.3">
      <c r="A573">
        <v>72013</v>
      </c>
      <c r="B573" s="1" t="s">
        <v>3</v>
      </c>
      <c r="C573" s="2">
        <v>43241</v>
      </c>
    </row>
    <row r="574" spans="1:3" x14ac:dyDescent="0.3">
      <c r="A574">
        <v>62188</v>
      </c>
      <c r="B574" s="1" t="s">
        <v>4</v>
      </c>
      <c r="C574" s="2">
        <v>43163</v>
      </c>
    </row>
    <row r="575" spans="1:3" x14ac:dyDescent="0.3">
      <c r="A575">
        <v>39681</v>
      </c>
      <c r="B575" s="1" t="s">
        <v>4</v>
      </c>
      <c r="C575" s="2">
        <v>43137</v>
      </c>
    </row>
    <row r="576" spans="1:3" x14ac:dyDescent="0.3">
      <c r="A576">
        <v>40011</v>
      </c>
      <c r="B576" s="1" t="s">
        <v>4</v>
      </c>
      <c r="C576" s="2">
        <v>43210</v>
      </c>
    </row>
    <row r="577" spans="1:3" x14ac:dyDescent="0.3">
      <c r="A577">
        <v>53907</v>
      </c>
      <c r="B577" s="1" t="s">
        <v>3</v>
      </c>
      <c r="C577" s="2">
        <v>43246</v>
      </c>
    </row>
    <row r="578" spans="1:3" x14ac:dyDescent="0.3">
      <c r="A578">
        <v>27241</v>
      </c>
      <c r="B578" s="1" t="s">
        <v>3</v>
      </c>
      <c r="C578" s="2">
        <v>43258</v>
      </c>
    </row>
    <row r="579" spans="1:3" x14ac:dyDescent="0.3">
      <c r="A579">
        <v>53340</v>
      </c>
      <c r="B579" s="1" t="s">
        <v>4</v>
      </c>
      <c r="C579" s="2">
        <v>43247</v>
      </c>
    </row>
    <row r="580" spans="1:3" x14ac:dyDescent="0.3">
      <c r="A580">
        <v>94534</v>
      </c>
      <c r="B580" s="1" t="s">
        <v>4</v>
      </c>
      <c r="C580" s="2">
        <v>43254</v>
      </c>
    </row>
    <row r="581" spans="1:3" x14ac:dyDescent="0.3">
      <c r="A581">
        <v>93262</v>
      </c>
      <c r="B581" s="1" t="s">
        <v>4</v>
      </c>
      <c r="C581" s="2">
        <v>43270</v>
      </c>
    </row>
    <row r="582" spans="1:3" x14ac:dyDescent="0.3">
      <c r="A582">
        <v>81431</v>
      </c>
      <c r="B582" s="1" t="s">
        <v>4</v>
      </c>
      <c r="C582" s="2">
        <v>43226</v>
      </c>
    </row>
    <row r="583" spans="1:3" x14ac:dyDescent="0.3">
      <c r="A583">
        <v>59243</v>
      </c>
      <c r="B583" s="1" t="s">
        <v>3</v>
      </c>
      <c r="C583" s="2">
        <v>43085</v>
      </c>
    </row>
    <row r="584" spans="1:3" x14ac:dyDescent="0.3">
      <c r="A584">
        <v>74612</v>
      </c>
      <c r="B584" s="1" t="s">
        <v>4</v>
      </c>
      <c r="C584" s="2">
        <v>43135</v>
      </c>
    </row>
    <row r="585" spans="1:3" x14ac:dyDescent="0.3">
      <c r="A585">
        <v>70039</v>
      </c>
      <c r="B585" s="1" t="s">
        <v>4</v>
      </c>
      <c r="C585" s="2">
        <v>43093</v>
      </c>
    </row>
    <row r="586" spans="1:3" x14ac:dyDescent="0.3">
      <c r="A586">
        <v>84633</v>
      </c>
      <c r="B586" s="1" t="s">
        <v>3</v>
      </c>
      <c r="C586" s="2">
        <v>43225</v>
      </c>
    </row>
    <row r="587" spans="1:3" x14ac:dyDescent="0.3">
      <c r="A587">
        <v>51415</v>
      </c>
      <c r="B587" s="1" t="s">
        <v>4</v>
      </c>
      <c r="C587" s="2">
        <v>43280</v>
      </c>
    </row>
    <row r="588" spans="1:3" x14ac:dyDescent="0.3">
      <c r="A588">
        <v>46800</v>
      </c>
      <c r="B588" s="1" t="s">
        <v>3</v>
      </c>
      <c r="C588" s="2">
        <v>43223</v>
      </c>
    </row>
    <row r="589" spans="1:3" x14ac:dyDescent="0.3">
      <c r="A589">
        <v>59673</v>
      </c>
      <c r="B589" s="1" t="s">
        <v>3</v>
      </c>
      <c r="C589" s="2">
        <v>43250</v>
      </c>
    </row>
    <row r="590" spans="1:3" x14ac:dyDescent="0.3">
      <c r="A590">
        <v>60710</v>
      </c>
      <c r="B590" s="1" t="s">
        <v>3</v>
      </c>
      <c r="C590" s="2">
        <v>43209</v>
      </c>
    </row>
    <row r="591" spans="1:3" x14ac:dyDescent="0.3">
      <c r="A591">
        <v>41011</v>
      </c>
      <c r="B591" s="1" t="s">
        <v>4</v>
      </c>
      <c r="C591" s="2">
        <v>43163</v>
      </c>
    </row>
    <row r="592" spans="1:3" x14ac:dyDescent="0.3">
      <c r="A592">
        <v>73308</v>
      </c>
      <c r="B592" s="1" t="s">
        <v>4</v>
      </c>
      <c r="C592" s="2">
        <v>43223</v>
      </c>
    </row>
    <row r="593" spans="1:3" x14ac:dyDescent="0.3">
      <c r="A593">
        <v>1320</v>
      </c>
      <c r="B593" s="1" t="s">
        <v>3</v>
      </c>
      <c r="C593" s="2">
        <v>43280</v>
      </c>
    </row>
    <row r="594" spans="1:3" x14ac:dyDescent="0.3">
      <c r="A594">
        <v>58701</v>
      </c>
      <c r="B594" s="1" t="s">
        <v>4</v>
      </c>
      <c r="C594" s="2">
        <v>43131</v>
      </c>
    </row>
    <row r="595" spans="1:3" x14ac:dyDescent="0.3">
      <c r="A595">
        <v>64905</v>
      </c>
      <c r="B595" s="1" t="s">
        <v>3</v>
      </c>
      <c r="C595" s="2">
        <v>43172</v>
      </c>
    </row>
    <row r="596" spans="1:3" x14ac:dyDescent="0.3">
      <c r="A596">
        <v>25165</v>
      </c>
      <c r="B596" s="1" t="s">
        <v>3</v>
      </c>
      <c r="C596" s="2">
        <v>43234</v>
      </c>
    </row>
    <row r="597" spans="1:3" x14ac:dyDescent="0.3">
      <c r="A597">
        <v>71818</v>
      </c>
      <c r="B597" s="1" t="s">
        <v>4</v>
      </c>
      <c r="C597" s="2">
        <v>43269</v>
      </c>
    </row>
    <row r="598" spans="1:3" x14ac:dyDescent="0.3">
      <c r="A598">
        <v>89824</v>
      </c>
      <c r="B598" s="1" t="s">
        <v>3</v>
      </c>
      <c r="C598" s="2">
        <v>43192</v>
      </c>
    </row>
    <row r="599" spans="1:3" x14ac:dyDescent="0.3">
      <c r="A599">
        <v>86851</v>
      </c>
      <c r="B599" s="1" t="s">
        <v>4</v>
      </c>
      <c r="C599" s="2">
        <v>43089</v>
      </c>
    </row>
    <row r="600" spans="1:3" x14ac:dyDescent="0.3">
      <c r="A600">
        <v>94614</v>
      </c>
      <c r="B600" s="1" t="s">
        <v>4</v>
      </c>
      <c r="C600" s="2">
        <v>43160</v>
      </c>
    </row>
    <row r="601" spans="1:3" x14ac:dyDescent="0.3">
      <c r="A601">
        <v>33944</v>
      </c>
      <c r="B601" s="1" t="s">
        <v>3</v>
      </c>
      <c r="C601" s="2">
        <v>43186</v>
      </c>
    </row>
    <row r="602" spans="1:3" x14ac:dyDescent="0.3">
      <c r="A602">
        <v>28052</v>
      </c>
      <c r="B602" s="1" t="s">
        <v>3</v>
      </c>
      <c r="C602" s="2">
        <v>43100</v>
      </c>
    </row>
    <row r="603" spans="1:3" x14ac:dyDescent="0.3">
      <c r="A603">
        <v>44832</v>
      </c>
      <c r="B603" s="1" t="s">
        <v>4</v>
      </c>
      <c r="C603" s="2">
        <v>43252</v>
      </c>
    </row>
    <row r="604" spans="1:3" x14ac:dyDescent="0.3">
      <c r="A604">
        <v>64472</v>
      </c>
      <c r="B604" s="1" t="s">
        <v>3</v>
      </c>
      <c r="C604" s="2">
        <v>43123</v>
      </c>
    </row>
    <row r="605" spans="1:3" x14ac:dyDescent="0.3">
      <c r="A605">
        <v>46983</v>
      </c>
      <c r="B605" s="1" t="s">
        <v>4</v>
      </c>
      <c r="C605" s="2">
        <v>43221</v>
      </c>
    </row>
    <row r="606" spans="1:3" x14ac:dyDescent="0.3">
      <c r="A606">
        <v>31948</v>
      </c>
      <c r="B606" s="1" t="s">
        <v>3</v>
      </c>
      <c r="C606" s="2">
        <v>43215</v>
      </c>
    </row>
    <row r="607" spans="1:3" x14ac:dyDescent="0.3">
      <c r="A607">
        <v>54032</v>
      </c>
      <c r="B607" s="1" t="s">
        <v>3</v>
      </c>
      <c r="C607" s="2">
        <v>43098</v>
      </c>
    </row>
    <row r="608" spans="1:3" x14ac:dyDescent="0.3">
      <c r="A608">
        <v>93644</v>
      </c>
      <c r="B608" s="1" t="s">
        <v>4</v>
      </c>
      <c r="C608" s="2">
        <v>43255</v>
      </c>
    </row>
    <row r="609" spans="1:3" x14ac:dyDescent="0.3">
      <c r="A609">
        <v>43097</v>
      </c>
      <c r="B609" s="1" t="s">
        <v>3</v>
      </c>
      <c r="C609" s="2">
        <v>43254</v>
      </c>
    </row>
    <row r="610" spans="1:3" x14ac:dyDescent="0.3">
      <c r="A610">
        <v>91152</v>
      </c>
      <c r="B610" s="1" t="s">
        <v>4</v>
      </c>
      <c r="C610" s="2">
        <v>43100</v>
      </c>
    </row>
    <row r="611" spans="1:3" x14ac:dyDescent="0.3">
      <c r="A611">
        <v>14607</v>
      </c>
      <c r="B611" s="1" t="s">
        <v>3</v>
      </c>
      <c r="C611" s="2">
        <v>43160</v>
      </c>
    </row>
    <row r="612" spans="1:3" x14ac:dyDescent="0.3">
      <c r="A612">
        <v>25111</v>
      </c>
      <c r="B612" s="1" t="s">
        <v>3</v>
      </c>
      <c r="C612" s="2">
        <v>43090</v>
      </c>
    </row>
    <row r="613" spans="1:3" x14ac:dyDescent="0.3">
      <c r="A613">
        <v>35063</v>
      </c>
      <c r="B613" s="1" t="s">
        <v>4</v>
      </c>
      <c r="C613" s="2">
        <v>43228</v>
      </c>
    </row>
    <row r="614" spans="1:3" x14ac:dyDescent="0.3">
      <c r="A614">
        <v>41544</v>
      </c>
      <c r="B614" s="1" t="s">
        <v>4</v>
      </c>
      <c r="C614" s="2">
        <v>43259</v>
      </c>
    </row>
    <row r="615" spans="1:3" x14ac:dyDescent="0.3">
      <c r="A615">
        <v>43862</v>
      </c>
      <c r="B615" s="1" t="s">
        <v>3</v>
      </c>
      <c r="C615" s="2">
        <v>43255</v>
      </c>
    </row>
    <row r="616" spans="1:3" x14ac:dyDescent="0.3">
      <c r="A616">
        <v>62005</v>
      </c>
      <c r="B616" s="1" t="s">
        <v>4</v>
      </c>
      <c r="C616" s="2">
        <v>43104</v>
      </c>
    </row>
    <row r="617" spans="1:3" x14ac:dyDescent="0.3">
      <c r="A617">
        <v>95293</v>
      </c>
      <c r="B617" s="1" t="s">
        <v>4</v>
      </c>
      <c r="C617" s="2">
        <v>43275</v>
      </c>
    </row>
    <row r="618" spans="1:3" x14ac:dyDescent="0.3">
      <c r="A618">
        <v>75094</v>
      </c>
      <c r="B618" s="1" t="s">
        <v>3</v>
      </c>
      <c r="C618" s="2">
        <v>43135</v>
      </c>
    </row>
    <row r="619" spans="1:3" x14ac:dyDescent="0.3">
      <c r="A619">
        <v>81587</v>
      </c>
      <c r="B619" s="1" t="s">
        <v>3</v>
      </c>
      <c r="C619" s="2">
        <v>43160</v>
      </c>
    </row>
    <row r="620" spans="1:3" x14ac:dyDescent="0.3">
      <c r="A620">
        <v>87054</v>
      </c>
      <c r="B620" s="1" t="s">
        <v>3</v>
      </c>
      <c r="C620" s="2">
        <v>43134</v>
      </c>
    </row>
    <row r="621" spans="1:3" x14ac:dyDescent="0.3">
      <c r="A621">
        <v>41074</v>
      </c>
      <c r="B621" s="1" t="s">
        <v>3</v>
      </c>
      <c r="C621" s="2">
        <v>43185</v>
      </c>
    </row>
    <row r="622" spans="1:3" x14ac:dyDescent="0.3">
      <c r="A622">
        <v>97132</v>
      </c>
      <c r="B622" s="1" t="s">
        <v>4</v>
      </c>
      <c r="C622" s="2">
        <v>43183</v>
      </c>
    </row>
    <row r="623" spans="1:3" x14ac:dyDescent="0.3">
      <c r="A623">
        <v>85087</v>
      </c>
      <c r="B623" s="1" t="s">
        <v>4</v>
      </c>
      <c r="C623" s="2">
        <v>43228</v>
      </c>
    </row>
    <row r="624" spans="1:3" x14ac:dyDescent="0.3">
      <c r="A624">
        <v>38026</v>
      </c>
      <c r="B624" s="1" t="s">
        <v>3</v>
      </c>
      <c r="C624" s="2">
        <v>43171</v>
      </c>
    </row>
    <row r="625" spans="1:3" x14ac:dyDescent="0.3">
      <c r="A625">
        <v>52709</v>
      </c>
      <c r="B625" s="1" t="s">
        <v>4</v>
      </c>
      <c r="C625" s="2">
        <v>43253</v>
      </c>
    </row>
    <row r="626" spans="1:3" x14ac:dyDescent="0.3">
      <c r="A626">
        <v>78868</v>
      </c>
      <c r="B626" s="1" t="s">
        <v>4</v>
      </c>
      <c r="C626" s="2">
        <v>43129</v>
      </c>
    </row>
    <row r="627" spans="1:3" x14ac:dyDescent="0.3">
      <c r="A627">
        <v>88229</v>
      </c>
      <c r="B627" s="1" t="s">
        <v>4</v>
      </c>
      <c r="C627" s="2">
        <v>43219</v>
      </c>
    </row>
    <row r="628" spans="1:3" x14ac:dyDescent="0.3">
      <c r="A628">
        <v>64584</v>
      </c>
      <c r="B628" s="1" t="s">
        <v>4</v>
      </c>
      <c r="C628" s="2">
        <v>43192</v>
      </c>
    </row>
    <row r="629" spans="1:3" x14ac:dyDescent="0.3">
      <c r="A629">
        <v>74556</v>
      </c>
      <c r="B629" s="1" t="s">
        <v>3</v>
      </c>
      <c r="C629" s="2">
        <v>43228</v>
      </c>
    </row>
    <row r="630" spans="1:3" x14ac:dyDescent="0.3">
      <c r="A630">
        <v>79672</v>
      </c>
      <c r="B630" s="1" t="s">
        <v>3</v>
      </c>
      <c r="C630" s="2">
        <v>43242</v>
      </c>
    </row>
    <row r="631" spans="1:3" x14ac:dyDescent="0.3">
      <c r="A631">
        <v>74172</v>
      </c>
      <c r="B631" s="1" t="s">
        <v>4</v>
      </c>
      <c r="C631" s="2">
        <v>43148</v>
      </c>
    </row>
    <row r="632" spans="1:3" x14ac:dyDescent="0.3">
      <c r="A632">
        <v>80485</v>
      </c>
      <c r="B632" s="1" t="s">
        <v>4</v>
      </c>
      <c r="C632" s="2">
        <v>43212</v>
      </c>
    </row>
    <row r="633" spans="1:3" x14ac:dyDescent="0.3">
      <c r="A633">
        <v>99834</v>
      </c>
      <c r="B633" s="1" t="s">
        <v>3</v>
      </c>
      <c r="C633" s="2">
        <v>43190</v>
      </c>
    </row>
    <row r="634" spans="1:3" x14ac:dyDescent="0.3">
      <c r="A634">
        <v>48849</v>
      </c>
      <c r="B634" s="1" t="s">
        <v>4</v>
      </c>
      <c r="C634" s="2">
        <v>43115</v>
      </c>
    </row>
    <row r="635" spans="1:3" x14ac:dyDescent="0.3">
      <c r="A635">
        <v>8019</v>
      </c>
      <c r="B635" s="1" t="s">
        <v>3</v>
      </c>
      <c r="C635" s="2">
        <v>43181</v>
      </c>
    </row>
    <row r="636" spans="1:3" x14ac:dyDescent="0.3">
      <c r="A636">
        <v>4154</v>
      </c>
      <c r="B636" s="1" t="s">
        <v>3</v>
      </c>
      <c r="C636" s="2">
        <v>43105</v>
      </c>
    </row>
    <row r="637" spans="1:3" x14ac:dyDescent="0.3">
      <c r="A637">
        <v>41390</v>
      </c>
      <c r="B637" s="1" t="s">
        <v>3</v>
      </c>
      <c r="C637" s="2">
        <v>43090</v>
      </c>
    </row>
    <row r="638" spans="1:3" x14ac:dyDescent="0.3">
      <c r="A638">
        <v>44730</v>
      </c>
      <c r="B638" s="1" t="s">
        <v>4</v>
      </c>
      <c r="C638" s="2">
        <v>43115</v>
      </c>
    </row>
    <row r="639" spans="1:3" x14ac:dyDescent="0.3">
      <c r="A639">
        <v>28781</v>
      </c>
      <c r="B639" s="1" t="s">
        <v>3</v>
      </c>
      <c r="C639" s="2">
        <v>43281</v>
      </c>
    </row>
    <row r="640" spans="1:3" x14ac:dyDescent="0.3">
      <c r="A640">
        <v>62330</v>
      </c>
      <c r="B640" s="1" t="s">
        <v>4</v>
      </c>
      <c r="C640" s="2">
        <v>43156</v>
      </c>
    </row>
    <row r="641" spans="1:3" x14ac:dyDescent="0.3">
      <c r="A641">
        <v>62089</v>
      </c>
      <c r="B641" s="1" t="s">
        <v>3</v>
      </c>
      <c r="C641" s="2">
        <v>43279</v>
      </c>
    </row>
    <row r="642" spans="1:3" x14ac:dyDescent="0.3">
      <c r="A642">
        <v>7023</v>
      </c>
      <c r="B642" s="1" t="s">
        <v>3</v>
      </c>
      <c r="C642" s="2">
        <v>43191</v>
      </c>
    </row>
    <row r="643" spans="1:3" x14ac:dyDescent="0.3">
      <c r="A643">
        <v>89079</v>
      </c>
      <c r="B643" s="1" t="s">
        <v>4</v>
      </c>
      <c r="C643" s="2">
        <v>43244</v>
      </c>
    </row>
    <row r="644" spans="1:3" x14ac:dyDescent="0.3">
      <c r="A644">
        <v>89710</v>
      </c>
      <c r="B644" s="1" t="s">
        <v>3</v>
      </c>
      <c r="C644" s="2">
        <v>43252</v>
      </c>
    </row>
    <row r="645" spans="1:3" x14ac:dyDescent="0.3">
      <c r="A645">
        <v>92514</v>
      </c>
      <c r="B645" s="1" t="s">
        <v>4</v>
      </c>
      <c r="C645" s="2">
        <v>43234</v>
      </c>
    </row>
    <row r="646" spans="1:3" x14ac:dyDescent="0.3">
      <c r="A646">
        <v>1692</v>
      </c>
      <c r="B646" s="1" t="s">
        <v>3</v>
      </c>
      <c r="C646" s="2">
        <v>43206</v>
      </c>
    </row>
    <row r="647" spans="1:3" x14ac:dyDescent="0.3">
      <c r="A647">
        <v>36356</v>
      </c>
      <c r="B647" s="1" t="s">
        <v>4</v>
      </c>
      <c r="C647" s="2">
        <v>43097</v>
      </c>
    </row>
    <row r="648" spans="1:3" x14ac:dyDescent="0.3">
      <c r="A648">
        <v>62108</v>
      </c>
      <c r="B648" s="1" t="s">
        <v>4</v>
      </c>
      <c r="C648" s="2">
        <v>43237</v>
      </c>
    </row>
    <row r="649" spans="1:3" x14ac:dyDescent="0.3">
      <c r="A649">
        <v>38508</v>
      </c>
      <c r="B649" s="1" t="s">
        <v>4</v>
      </c>
      <c r="C649" s="2">
        <v>43201</v>
      </c>
    </row>
    <row r="650" spans="1:3" x14ac:dyDescent="0.3">
      <c r="A650">
        <v>15523</v>
      </c>
      <c r="B650" s="1" t="s">
        <v>3</v>
      </c>
      <c r="C650" s="2">
        <v>43210</v>
      </c>
    </row>
    <row r="651" spans="1:3" x14ac:dyDescent="0.3">
      <c r="A651">
        <v>13959</v>
      </c>
      <c r="B651" s="1" t="s">
        <v>3</v>
      </c>
      <c r="C651" s="2">
        <v>43267</v>
      </c>
    </row>
    <row r="652" spans="1:3" x14ac:dyDescent="0.3">
      <c r="A652">
        <v>74943</v>
      </c>
      <c r="B652" s="1" t="s">
        <v>4</v>
      </c>
      <c r="C652" s="2">
        <v>43221</v>
      </c>
    </row>
    <row r="653" spans="1:3" x14ac:dyDescent="0.3">
      <c r="A653">
        <v>5387</v>
      </c>
      <c r="B653" s="1" t="s">
        <v>3</v>
      </c>
      <c r="C653" s="2">
        <v>43131</v>
      </c>
    </row>
    <row r="654" spans="1:3" x14ac:dyDescent="0.3">
      <c r="A654">
        <v>97854</v>
      </c>
      <c r="B654" s="1" t="s">
        <v>4</v>
      </c>
      <c r="C654" s="2">
        <v>43245</v>
      </c>
    </row>
    <row r="655" spans="1:3" x14ac:dyDescent="0.3">
      <c r="A655">
        <v>62582</v>
      </c>
      <c r="B655" s="1" t="s">
        <v>4</v>
      </c>
      <c r="C655" s="2">
        <v>43225</v>
      </c>
    </row>
    <row r="656" spans="1:3" x14ac:dyDescent="0.3">
      <c r="A656">
        <v>55768</v>
      </c>
      <c r="B656" s="1" t="s">
        <v>4</v>
      </c>
      <c r="C656" s="2">
        <v>43277</v>
      </c>
    </row>
    <row r="657" spans="1:3" x14ac:dyDescent="0.3">
      <c r="A657">
        <v>87208</v>
      </c>
      <c r="B657" s="1" t="s">
        <v>4</v>
      </c>
      <c r="C657" s="2">
        <v>43107</v>
      </c>
    </row>
    <row r="658" spans="1:3" x14ac:dyDescent="0.3">
      <c r="A658">
        <v>92172</v>
      </c>
      <c r="B658" s="1" t="s">
        <v>3</v>
      </c>
      <c r="C658" s="2">
        <v>43192</v>
      </c>
    </row>
    <row r="659" spans="1:3" x14ac:dyDescent="0.3">
      <c r="A659">
        <v>77938</v>
      </c>
      <c r="B659" s="1" t="s">
        <v>4</v>
      </c>
      <c r="C659" s="2">
        <v>43153</v>
      </c>
    </row>
    <row r="660" spans="1:3" x14ac:dyDescent="0.3">
      <c r="A660">
        <v>38709</v>
      </c>
      <c r="B660" s="1" t="s">
        <v>4</v>
      </c>
      <c r="C660" s="2">
        <v>43189</v>
      </c>
    </row>
    <row r="661" spans="1:3" x14ac:dyDescent="0.3">
      <c r="A661">
        <v>78253</v>
      </c>
      <c r="B661" s="1" t="s">
        <v>4</v>
      </c>
      <c r="C661" s="2">
        <v>43245</v>
      </c>
    </row>
    <row r="662" spans="1:3" x14ac:dyDescent="0.3">
      <c r="A662">
        <v>87428</v>
      </c>
      <c r="B662" s="1" t="s">
        <v>4</v>
      </c>
      <c r="C662" s="2">
        <v>43108</v>
      </c>
    </row>
    <row r="663" spans="1:3" x14ac:dyDescent="0.3">
      <c r="A663">
        <v>31137</v>
      </c>
      <c r="B663" s="1" t="s">
        <v>4</v>
      </c>
      <c r="C663" s="2">
        <v>43162</v>
      </c>
    </row>
    <row r="664" spans="1:3" x14ac:dyDescent="0.3">
      <c r="A664">
        <v>45022</v>
      </c>
      <c r="B664" s="1" t="s">
        <v>4</v>
      </c>
      <c r="C664" s="2">
        <v>43093</v>
      </c>
    </row>
    <row r="665" spans="1:3" x14ac:dyDescent="0.3">
      <c r="A665">
        <v>23879</v>
      </c>
      <c r="B665" s="1" t="s">
        <v>3</v>
      </c>
      <c r="C665" s="2">
        <v>43090</v>
      </c>
    </row>
    <row r="666" spans="1:3" x14ac:dyDescent="0.3">
      <c r="A666">
        <v>32706</v>
      </c>
      <c r="B666" s="1" t="s">
        <v>3</v>
      </c>
      <c r="C666" s="2">
        <v>43217</v>
      </c>
    </row>
    <row r="667" spans="1:3" x14ac:dyDescent="0.3">
      <c r="A667">
        <v>95249</v>
      </c>
      <c r="B667" s="1" t="s">
        <v>4</v>
      </c>
      <c r="C667" s="2">
        <v>43196</v>
      </c>
    </row>
    <row r="668" spans="1:3" x14ac:dyDescent="0.3">
      <c r="A668">
        <v>2860</v>
      </c>
      <c r="B668" s="1" t="s">
        <v>3</v>
      </c>
      <c r="C668" s="2">
        <v>43254</v>
      </c>
    </row>
    <row r="669" spans="1:3" x14ac:dyDescent="0.3">
      <c r="A669">
        <v>43655</v>
      </c>
      <c r="B669" s="1" t="s">
        <v>3</v>
      </c>
      <c r="C669" s="2">
        <v>43156</v>
      </c>
    </row>
    <row r="670" spans="1:3" x14ac:dyDescent="0.3">
      <c r="A670">
        <v>50847</v>
      </c>
      <c r="B670" s="1" t="s">
        <v>4</v>
      </c>
      <c r="C670" s="2">
        <v>43182</v>
      </c>
    </row>
    <row r="671" spans="1:3" x14ac:dyDescent="0.3">
      <c r="A671">
        <v>62590</v>
      </c>
      <c r="B671" s="1" t="s">
        <v>3</v>
      </c>
      <c r="C671" s="2">
        <v>43159</v>
      </c>
    </row>
    <row r="672" spans="1:3" x14ac:dyDescent="0.3">
      <c r="A672">
        <v>51195</v>
      </c>
      <c r="B672" s="1" t="s">
        <v>3</v>
      </c>
      <c r="C672" s="2">
        <v>43217</v>
      </c>
    </row>
    <row r="673" spans="1:3" x14ac:dyDescent="0.3">
      <c r="A673">
        <v>42797</v>
      </c>
      <c r="B673" s="1" t="s">
        <v>4</v>
      </c>
      <c r="C673" s="2">
        <v>43230</v>
      </c>
    </row>
    <row r="674" spans="1:3" x14ac:dyDescent="0.3">
      <c r="A674">
        <v>23814</v>
      </c>
      <c r="B674" s="1" t="s">
        <v>3</v>
      </c>
      <c r="C674" s="2">
        <v>43251</v>
      </c>
    </row>
    <row r="675" spans="1:3" x14ac:dyDescent="0.3">
      <c r="A675">
        <v>92710</v>
      </c>
      <c r="B675" s="1" t="s">
        <v>4</v>
      </c>
      <c r="C675" s="2">
        <v>43275</v>
      </c>
    </row>
    <row r="676" spans="1:3" x14ac:dyDescent="0.3">
      <c r="A676">
        <v>52191</v>
      </c>
      <c r="B676" s="1" t="s">
        <v>3</v>
      </c>
      <c r="C676" s="2">
        <v>43205</v>
      </c>
    </row>
    <row r="677" spans="1:3" x14ac:dyDescent="0.3">
      <c r="A677">
        <v>21048</v>
      </c>
      <c r="B677" s="1" t="s">
        <v>3</v>
      </c>
      <c r="C677" s="2">
        <v>43180</v>
      </c>
    </row>
    <row r="678" spans="1:3" x14ac:dyDescent="0.3">
      <c r="A678">
        <v>93801</v>
      </c>
      <c r="B678" s="1" t="s">
        <v>3</v>
      </c>
      <c r="C678" s="2">
        <v>43225</v>
      </c>
    </row>
    <row r="679" spans="1:3" x14ac:dyDescent="0.3">
      <c r="A679">
        <v>34398</v>
      </c>
      <c r="B679" s="1" t="s">
        <v>4</v>
      </c>
      <c r="C679" s="2">
        <v>43188</v>
      </c>
    </row>
    <row r="680" spans="1:3" x14ac:dyDescent="0.3">
      <c r="A680">
        <v>53715</v>
      </c>
      <c r="B680" s="1" t="s">
        <v>4</v>
      </c>
      <c r="C680" s="2">
        <v>43197</v>
      </c>
    </row>
    <row r="681" spans="1:3" x14ac:dyDescent="0.3">
      <c r="A681">
        <v>82586</v>
      </c>
      <c r="B681" s="1" t="s">
        <v>4</v>
      </c>
      <c r="C681" s="2">
        <v>43110</v>
      </c>
    </row>
    <row r="682" spans="1:3" x14ac:dyDescent="0.3">
      <c r="A682">
        <v>60636</v>
      </c>
      <c r="B682" s="1" t="s">
        <v>4</v>
      </c>
      <c r="C682" s="2">
        <v>43230</v>
      </c>
    </row>
    <row r="683" spans="1:3" x14ac:dyDescent="0.3">
      <c r="A683">
        <v>93898</v>
      </c>
      <c r="B683" s="1" t="s">
        <v>3</v>
      </c>
      <c r="C683" s="2">
        <v>43256</v>
      </c>
    </row>
    <row r="684" spans="1:3" x14ac:dyDescent="0.3">
      <c r="A684">
        <v>32015</v>
      </c>
      <c r="B684" s="1" t="s">
        <v>4</v>
      </c>
      <c r="C684" s="2">
        <v>43139</v>
      </c>
    </row>
    <row r="685" spans="1:3" x14ac:dyDescent="0.3">
      <c r="A685">
        <v>83014</v>
      </c>
      <c r="B685" s="1" t="s">
        <v>4</v>
      </c>
      <c r="C685" s="2">
        <v>43270</v>
      </c>
    </row>
    <row r="686" spans="1:3" x14ac:dyDescent="0.3">
      <c r="A686">
        <v>93689</v>
      </c>
      <c r="B686" s="1" t="s">
        <v>4</v>
      </c>
      <c r="C686" s="2">
        <v>43267</v>
      </c>
    </row>
    <row r="687" spans="1:3" x14ac:dyDescent="0.3">
      <c r="A687">
        <v>7891</v>
      </c>
      <c r="B687" s="1" t="s">
        <v>3</v>
      </c>
      <c r="C687" s="2">
        <v>43261</v>
      </c>
    </row>
    <row r="688" spans="1:3" x14ac:dyDescent="0.3">
      <c r="A688">
        <v>85725</v>
      </c>
      <c r="B688" s="1" t="s">
        <v>4</v>
      </c>
      <c r="C688" s="2">
        <v>43144</v>
      </c>
    </row>
    <row r="689" spans="1:3" x14ac:dyDescent="0.3">
      <c r="A689">
        <v>38501</v>
      </c>
      <c r="B689" s="1" t="s">
        <v>4</v>
      </c>
      <c r="C689" s="2">
        <v>43086</v>
      </c>
    </row>
    <row r="690" spans="1:3" x14ac:dyDescent="0.3">
      <c r="A690">
        <v>75209</v>
      </c>
      <c r="B690" s="1" t="s">
        <v>4</v>
      </c>
      <c r="C690" s="2">
        <v>43261</v>
      </c>
    </row>
    <row r="691" spans="1:3" x14ac:dyDescent="0.3">
      <c r="A691">
        <v>22863</v>
      </c>
      <c r="B691" s="1" t="s">
        <v>3</v>
      </c>
      <c r="C691" s="2">
        <v>43131</v>
      </c>
    </row>
    <row r="692" spans="1:3" x14ac:dyDescent="0.3">
      <c r="A692">
        <v>16296</v>
      </c>
      <c r="B692" s="1" t="s">
        <v>3</v>
      </c>
      <c r="C692" s="2">
        <v>43244</v>
      </c>
    </row>
    <row r="693" spans="1:3" x14ac:dyDescent="0.3">
      <c r="A693">
        <v>50628</v>
      </c>
      <c r="B693" s="1" t="s">
        <v>3</v>
      </c>
      <c r="C693" s="2">
        <v>43241</v>
      </c>
    </row>
    <row r="694" spans="1:3" x14ac:dyDescent="0.3">
      <c r="A694">
        <v>76876</v>
      </c>
      <c r="B694" s="1" t="s">
        <v>4</v>
      </c>
      <c r="C694" s="2">
        <v>43207</v>
      </c>
    </row>
    <row r="695" spans="1:3" x14ac:dyDescent="0.3">
      <c r="A695">
        <v>58877</v>
      </c>
      <c r="B695" s="1" t="s">
        <v>4</v>
      </c>
      <c r="C695" s="2">
        <v>43209</v>
      </c>
    </row>
    <row r="696" spans="1:3" x14ac:dyDescent="0.3">
      <c r="A696">
        <v>88261</v>
      </c>
      <c r="B696" s="1" t="s">
        <v>3</v>
      </c>
      <c r="C696" s="2">
        <v>43115</v>
      </c>
    </row>
    <row r="697" spans="1:3" x14ac:dyDescent="0.3">
      <c r="A697">
        <v>45067</v>
      </c>
      <c r="B697" s="1" t="s">
        <v>4</v>
      </c>
      <c r="C697" s="2">
        <v>43178</v>
      </c>
    </row>
    <row r="698" spans="1:3" x14ac:dyDescent="0.3">
      <c r="A698">
        <v>68371</v>
      </c>
      <c r="B698" s="1" t="s">
        <v>3</v>
      </c>
      <c r="C698" s="2">
        <v>43225</v>
      </c>
    </row>
    <row r="699" spans="1:3" x14ac:dyDescent="0.3">
      <c r="A699">
        <v>52389</v>
      </c>
      <c r="B699" s="1" t="s">
        <v>4</v>
      </c>
      <c r="C699" s="2">
        <v>43126</v>
      </c>
    </row>
    <row r="700" spans="1:3" x14ac:dyDescent="0.3">
      <c r="A700">
        <v>86106</v>
      </c>
      <c r="B700" s="1" t="s">
        <v>4</v>
      </c>
      <c r="C700" s="2">
        <v>43273</v>
      </c>
    </row>
    <row r="701" spans="1:3" x14ac:dyDescent="0.3">
      <c r="A701">
        <v>47648</v>
      </c>
      <c r="B701" s="1" t="s">
        <v>4</v>
      </c>
      <c r="C701" s="2">
        <v>43129</v>
      </c>
    </row>
    <row r="702" spans="1:3" x14ac:dyDescent="0.3">
      <c r="A702">
        <v>66259</v>
      </c>
      <c r="B702" s="1" t="s">
        <v>4</v>
      </c>
      <c r="C702" s="2">
        <v>43131</v>
      </c>
    </row>
    <row r="703" spans="1:3" x14ac:dyDescent="0.3">
      <c r="A703">
        <v>57561</v>
      </c>
      <c r="B703" s="1" t="s">
        <v>4</v>
      </c>
      <c r="C703" s="2">
        <v>43117</v>
      </c>
    </row>
    <row r="704" spans="1:3" x14ac:dyDescent="0.3">
      <c r="A704">
        <v>99290</v>
      </c>
      <c r="B704" s="1" t="s">
        <v>4</v>
      </c>
      <c r="C704" s="2">
        <v>43179</v>
      </c>
    </row>
    <row r="705" spans="1:3" x14ac:dyDescent="0.3">
      <c r="A705">
        <v>40229</v>
      </c>
      <c r="B705" s="1" t="s">
        <v>4</v>
      </c>
      <c r="C705" s="2">
        <v>43142</v>
      </c>
    </row>
    <row r="706" spans="1:3" x14ac:dyDescent="0.3">
      <c r="A706">
        <v>99890</v>
      </c>
      <c r="B706" s="1" t="s">
        <v>3</v>
      </c>
      <c r="C706" s="2">
        <v>43276</v>
      </c>
    </row>
    <row r="707" spans="1:3" x14ac:dyDescent="0.3">
      <c r="A707">
        <v>76743</v>
      </c>
      <c r="B707" s="1" t="s">
        <v>3</v>
      </c>
      <c r="C707" s="2">
        <v>43271</v>
      </c>
    </row>
    <row r="708" spans="1:3" x14ac:dyDescent="0.3">
      <c r="A708">
        <v>32644</v>
      </c>
      <c r="B708" s="1" t="s">
        <v>4</v>
      </c>
      <c r="C708" s="2">
        <v>43113</v>
      </c>
    </row>
    <row r="709" spans="1:3" x14ac:dyDescent="0.3">
      <c r="A709">
        <v>31281</v>
      </c>
      <c r="B709" s="1" t="s">
        <v>3</v>
      </c>
      <c r="C709" s="2">
        <v>43113</v>
      </c>
    </row>
    <row r="710" spans="1:3" x14ac:dyDescent="0.3">
      <c r="A710">
        <v>45852</v>
      </c>
      <c r="B710" s="1" t="s">
        <v>3</v>
      </c>
      <c r="C710" s="2">
        <v>43184</v>
      </c>
    </row>
    <row r="711" spans="1:3" x14ac:dyDescent="0.3">
      <c r="A711">
        <v>31877</v>
      </c>
      <c r="B711" s="1" t="s">
        <v>4</v>
      </c>
      <c r="C711" s="2">
        <v>43263</v>
      </c>
    </row>
    <row r="712" spans="1:3" x14ac:dyDescent="0.3">
      <c r="A712">
        <v>1549</v>
      </c>
      <c r="B712" s="1" t="s">
        <v>3</v>
      </c>
      <c r="C712" s="2">
        <v>43195</v>
      </c>
    </row>
    <row r="713" spans="1:3" x14ac:dyDescent="0.3">
      <c r="A713">
        <v>79397</v>
      </c>
      <c r="B713" s="1" t="s">
        <v>3</v>
      </c>
      <c r="C713" s="2">
        <v>43199</v>
      </c>
    </row>
    <row r="714" spans="1:3" x14ac:dyDescent="0.3">
      <c r="A714">
        <v>90109</v>
      </c>
      <c r="B714" s="1" t="s">
        <v>4</v>
      </c>
      <c r="C714" s="2">
        <v>43230</v>
      </c>
    </row>
    <row r="715" spans="1:3" x14ac:dyDescent="0.3">
      <c r="A715">
        <v>89129</v>
      </c>
      <c r="B715" s="1" t="s">
        <v>3</v>
      </c>
      <c r="C715" s="2">
        <v>43240</v>
      </c>
    </row>
    <row r="716" spans="1:3" x14ac:dyDescent="0.3">
      <c r="A716">
        <v>55568</v>
      </c>
      <c r="B716" s="1" t="s">
        <v>3</v>
      </c>
      <c r="C716" s="2">
        <v>43204</v>
      </c>
    </row>
    <row r="717" spans="1:3" x14ac:dyDescent="0.3">
      <c r="A717">
        <v>69658</v>
      </c>
      <c r="B717" s="1" t="s">
        <v>3</v>
      </c>
      <c r="C717" s="2">
        <v>43230</v>
      </c>
    </row>
    <row r="718" spans="1:3" x14ac:dyDescent="0.3">
      <c r="A718">
        <v>52899</v>
      </c>
      <c r="B718" s="1" t="s">
        <v>3</v>
      </c>
      <c r="C718" s="2">
        <v>43263</v>
      </c>
    </row>
    <row r="719" spans="1:3" x14ac:dyDescent="0.3">
      <c r="A719">
        <v>61803</v>
      </c>
      <c r="B719" s="1" t="s">
        <v>3</v>
      </c>
      <c r="C719" s="2">
        <v>43092</v>
      </c>
    </row>
    <row r="720" spans="1:3" x14ac:dyDescent="0.3">
      <c r="A720">
        <v>92132</v>
      </c>
      <c r="B720" s="1" t="s">
        <v>3</v>
      </c>
      <c r="C720" s="2">
        <v>43279</v>
      </c>
    </row>
    <row r="721" spans="1:3" x14ac:dyDescent="0.3">
      <c r="A721">
        <v>81026</v>
      </c>
      <c r="B721" s="1" t="s">
        <v>3</v>
      </c>
      <c r="C721" s="2">
        <v>43177</v>
      </c>
    </row>
    <row r="722" spans="1:3" x14ac:dyDescent="0.3">
      <c r="A722">
        <v>50582</v>
      </c>
      <c r="B722" s="1" t="s">
        <v>3</v>
      </c>
      <c r="C722" s="2">
        <v>43121</v>
      </c>
    </row>
    <row r="723" spans="1:3" x14ac:dyDescent="0.3">
      <c r="A723">
        <v>52479</v>
      </c>
      <c r="B723" s="1" t="s">
        <v>3</v>
      </c>
      <c r="C723" s="2">
        <v>43218</v>
      </c>
    </row>
    <row r="724" spans="1:3" x14ac:dyDescent="0.3">
      <c r="A724">
        <v>92518</v>
      </c>
      <c r="B724" s="1" t="s">
        <v>4</v>
      </c>
      <c r="C724" s="2">
        <v>43124</v>
      </c>
    </row>
    <row r="725" spans="1:3" x14ac:dyDescent="0.3">
      <c r="A725">
        <v>95772</v>
      </c>
      <c r="B725" s="1" t="s">
        <v>3</v>
      </c>
      <c r="C725" s="2">
        <v>43167</v>
      </c>
    </row>
    <row r="726" spans="1:3" x14ac:dyDescent="0.3">
      <c r="A726">
        <v>86010</v>
      </c>
      <c r="B726" s="1" t="s">
        <v>3</v>
      </c>
      <c r="C726" s="2">
        <v>43209</v>
      </c>
    </row>
    <row r="727" spans="1:3" x14ac:dyDescent="0.3">
      <c r="A727">
        <v>68166</v>
      </c>
      <c r="B727" s="1" t="s">
        <v>3</v>
      </c>
      <c r="C727" s="2">
        <v>43185</v>
      </c>
    </row>
    <row r="728" spans="1:3" x14ac:dyDescent="0.3">
      <c r="A728">
        <v>55420</v>
      </c>
      <c r="B728" s="1" t="s">
        <v>4</v>
      </c>
      <c r="C728" s="2">
        <v>43185</v>
      </c>
    </row>
    <row r="729" spans="1:3" x14ac:dyDescent="0.3">
      <c r="A729">
        <v>47402</v>
      </c>
      <c r="B729" s="1" t="s">
        <v>3</v>
      </c>
      <c r="C729" s="2">
        <v>43248</v>
      </c>
    </row>
    <row r="730" spans="1:3" x14ac:dyDescent="0.3">
      <c r="A730">
        <v>17398</v>
      </c>
      <c r="B730" s="1" t="s">
        <v>3</v>
      </c>
      <c r="C730" s="2">
        <v>43206</v>
      </c>
    </row>
    <row r="731" spans="1:3" x14ac:dyDescent="0.3">
      <c r="A731">
        <v>81017</v>
      </c>
      <c r="B731" s="1" t="s">
        <v>4</v>
      </c>
      <c r="C731" s="2">
        <v>43153</v>
      </c>
    </row>
    <row r="732" spans="1:3" x14ac:dyDescent="0.3">
      <c r="A732">
        <v>49022</v>
      </c>
      <c r="B732" s="1" t="s">
        <v>4</v>
      </c>
      <c r="C732" s="2">
        <v>43215</v>
      </c>
    </row>
    <row r="733" spans="1:3" x14ac:dyDescent="0.3">
      <c r="A733">
        <v>78781</v>
      </c>
      <c r="B733" s="1" t="s">
        <v>4</v>
      </c>
      <c r="C733" s="2">
        <v>43146</v>
      </c>
    </row>
    <row r="734" spans="1:3" x14ac:dyDescent="0.3">
      <c r="A734">
        <v>17379</v>
      </c>
      <c r="B734" s="1" t="s">
        <v>3</v>
      </c>
      <c r="C734" s="2">
        <v>43111</v>
      </c>
    </row>
    <row r="735" spans="1:3" x14ac:dyDescent="0.3">
      <c r="A735">
        <v>54632</v>
      </c>
      <c r="B735" s="1" t="s">
        <v>4</v>
      </c>
      <c r="C735" s="2">
        <v>43232</v>
      </c>
    </row>
    <row r="736" spans="1:3" x14ac:dyDescent="0.3">
      <c r="A736">
        <v>54343</v>
      </c>
      <c r="B736" s="1" t="s">
        <v>4</v>
      </c>
      <c r="C736" s="2">
        <v>43178</v>
      </c>
    </row>
    <row r="737" spans="1:3" x14ac:dyDescent="0.3">
      <c r="A737">
        <v>96816</v>
      </c>
      <c r="B737" s="1" t="s">
        <v>4</v>
      </c>
      <c r="C737" s="2">
        <v>43257</v>
      </c>
    </row>
    <row r="738" spans="1:3" x14ac:dyDescent="0.3">
      <c r="A738">
        <v>27355</v>
      </c>
      <c r="B738" s="1" t="s">
        <v>3</v>
      </c>
      <c r="C738" s="2">
        <v>43196</v>
      </c>
    </row>
    <row r="739" spans="1:3" x14ac:dyDescent="0.3">
      <c r="A739">
        <v>42795</v>
      </c>
      <c r="B739" s="1" t="s">
        <v>3</v>
      </c>
      <c r="C739" s="2">
        <v>43270</v>
      </c>
    </row>
    <row r="740" spans="1:3" x14ac:dyDescent="0.3">
      <c r="A740">
        <v>35460</v>
      </c>
      <c r="B740" s="1" t="s">
        <v>4</v>
      </c>
      <c r="C740" s="2">
        <v>43092</v>
      </c>
    </row>
    <row r="741" spans="1:3" x14ac:dyDescent="0.3">
      <c r="A741">
        <v>13256</v>
      </c>
      <c r="B741" s="1" t="s">
        <v>3</v>
      </c>
      <c r="C741" s="2">
        <v>43202</v>
      </c>
    </row>
    <row r="742" spans="1:3" x14ac:dyDescent="0.3">
      <c r="A742">
        <v>56762</v>
      </c>
      <c r="B742" s="1" t="s">
        <v>3</v>
      </c>
      <c r="C742" s="2">
        <v>43137</v>
      </c>
    </row>
    <row r="743" spans="1:3" x14ac:dyDescent="0.3">
      <c r="A743">
        <v>58450</v>
      </c>
      <c r="B743" s="1" t="s">
        <v>3</v>
      </c>
      <c r="C743" s="2">
        <v>43257</v>
      </c>
    </row>
    <row r="744" spans="1:3" x14ac:dyDescent="0.3">
      <c r="A744">
        <v>61000</v>
      </c>
      <c r="B744" s="1" t="s">
        <v>3</v>
      </c>
      <c r="C744" s="2">
        <v>43251</v>
      </c>
    </row>
    <row r="745" spans="1:3" x14ac:dyDescent="0.3">
      <c r="A745">
        <v>75655</v>
      </c>
      <c r="B745" s="1" t="s">
        <v>4</v>
      </c>
      <c r="C745" s="2">
        <v>43123</v>
      </c>
    </row>
    <row r="746" spans="1:3" x14ac:dyDescent="0.3">
      <c r="A746">
        <v>88113</v>
      </c>
      <c r="B746" s="1" t="s">
        <v>3</v>
      </c>
      <c r="C746" s="2">
        <v>43264</v>
      </c>
    </row>
    <row r="747" spans="1:3" x14ac:dyDescent="0.3">
      <c r="A747">
        <v>82717</v>
      </c>
      <c r="B747" s="1" t="s">
        <v>4</v>
      </c>
      <c r="C747" s="2">
        <v>43090</v>
      </c>
    </row>
    <row r="748" spans="1:3" x14ac:dyDescent="0.3">
      <c r="A748">
        <v>90717</v>
      </c>
      <c r="B748" s="1" t="s">
        <v>4</v>
      </c>
      <c r="C748" s="2">
        <v>43223</v>
      </c>
    </row>
    <row r="749" spans="1:3" x14ac:dyDescent="0.3">
      <c r="A749">
        <v>53100</v>
      </c>
      <c r="B749" s="1" t="s">
        <v>3</v>
      </c>
      <c r="C749" s="2">
        <v>43260</v>
      </c>
    </row>
    <row r="750" spans="1:3" x14ac:dyDescent="0.3">
      <c r="A750">
        <v>39909</v>
      </c>
      <c r="B750" s="1" t="s">
        <v>4</v>
      </c>
      <c r="C750" s="2">
        <v>43177</v>
      </c>
    </row>
    <row r="751" spans="1:3" x14ac:dyDescent="0.3">
      <c r="A751">
        <v>43137</v>
      </c>
      <c r="B751" s="1" t="s">
        <v>4</v>
      </c>
      <c r="C751" s="2">
        <v>43178</v>
      </c>
    </row>
    <row r="752" spans="1:3" x14ac:dyDescent="0.3">
      <c r="A752">
        <v>87356</v>
      </c>
      <c r="B752" s="1" t="s">
        <v>4</v>
      </c>
      <c r="C752" s="2">
        <v>43197</v>
      </c>
    </row>
    <row r="753" spans="1:3" x14ac:dyDescent="0.3">
      <c r="A753">
        <v>96314</v>
      </c>
      <c r="B753" s="1" t="s">
        <v>3</v>
      </c>
      <c r="C753" s="2">
        <v>43252</v>
      </c>
    </row>
    <row r="754" spans="1:3" x14ac:dyDescent="0.3">
      <c r="A754">
        <v>76468</v>
      </c>
      <c r="B754" s="1" t="s">
        <v>4</v>
      </c>
      <c r="C754" s="2">
        <v>43119</v>
      </c>
    </row>
    <row r="755" spans="1:3" x14ac:dyDescent="0.3">
      <c r="A755">
        <v>12409</v>
      </c>
      <c r="B755" s="1" t="s">
        <v>3</v>
      </c>
      <c r="C755" s="2">
        <v>43140</v>
      </c>
    </row>
    <row r="756" spans="1:3" x14ac:dyDescent="0.3">
      <c r="A756">
        <v>46943</v>
      </c>
      <c r="B756" s="1" t="s">
        <v>4</v>
      </c>
      <c r="C756" s="2">
        <v>43241</v>
      </c>
    </row>
    <row r="757" spans="1:3" x14ac:dyDescent="0.3">
      <c r="A757">
        <v>74405</v>
      </c>
      <c r="B757" s="1" t="s">
        <v>4</v>
      </c>
      <c r="C757" s="2">
        <v>43201</v>
      </c>
    </row>
    <row r="758" spans="1:3" x14ac:dyDescent="0.3">
      <c r="A758">
        <v>93034</v>
      </c>
      <c r="B758" s="1" t="s">
        <v>3</v>
      </c>
      <c r="C758" s="2">
        <v>43164</v>
      </c>
    </row>
    <row r="759" spans="1:3" x14ac:dyDescent="0.3">
      <c r="A759">
        <v>76072</v>
      </c>
      <c r="B759" s="1" t="s">
        <v>4</v>
      </c>
      <c r="C759" s="2">
        <v>43274</v>
      </c>
    </row>
    <row r="760" spans="1:3" x14ac:dyDescent="0.3">
      <c r="A760">
        <v>95749</v>
      </c>
      <c r="B760" s="1" t="s">
        <v>3</v>
      </c>
      <c r="C760" s="2">
        <v>43111</v>
      </c>
    </row>
    <row r="761" spans="1:3" x14ac:dyDescent="0.3">
      <c r="A761">
        <v>76046</v>
      </c>
      <c r="B761" s="1" t="s">
        <v>3</v>
      </c>
      <c r="C761" s="2">
        <v>43253</v>
      </c>
    </row>
    <row r="762" spans="1:3" x14ac:dyDescent="0.3">
      <c r="A762">
        <v>30772</v>
      </c>
      <c r="B762" s="1" t="s">
        <v>4</v>
      </c>
      <c r="C762" s="2">
        <v>43207</v>
      </c>
    </row>
    <row r="763" spans="1:3" x14ac:dyDescent="0.3">
      <c r="A763">
        <v>13205</v>
      </c>
      <c r="B763" s="1" t="s">
        <v>3</v>
      </c>
      <c r="C763" s="2">
        <v>43103</v>
      </c>
    </row>
    <row r="764" spans="1:3" x14ac:dyDescent="0.3">
      <c r="A764">
        <v>57137</v>
      </c>
      <c r="B764" s="1" t="s">
        <v>3</v>
      </c>
      <c r="C764" s="2">
        <v>43149</v>
      </c>
    </row>
    <row r="765" spans="1:3" x14ac:dyDescent="0.3">
      <c r="A765">
        <v>22451</v>
      </c>
      <c r="B765" s="1" t="s">
        <v>3</v>
      </c>
      <c r="C765" s="2">
        <v>43133</v>
      </c>
    </row>
    <row r="766" spans="1:3" x14ac:dyDescent="0.3">
      <c r="A766">
        <v>15291</v>
      </c>
      <c r="B766" s="1" t="s">
        <v>3</v>
      </c>
      <c r="C766" s="2">
        <v>43282</v>
      </c>
    </row>
    <row r="767" spans="1:3" x14ac:dyDescent="0.3">
      <c r="A767">
        <v>90317</v>
      </c>
      <c r="B767" s="1" t="s">
        <v>4</v>
      </c>
      <c r="C767" s="2">
        <v>43165</v>
      </c>
    </row>
    <row r="768" spans="1:3" x14ac:dyDescent="0.3">
      <c r="A768">
        <v>79342</v>
      </c>
      <c r="B768" s="1" t="s">
        <v>3</v>
      </c>
      <c r="C768" s="2">
        <v>43190</v>
      </c>
    </row>
    <row r="769" spans="1:3" x14ac:dyDescent="0.3">
      <c r="A769">
        <v>45892</v>
      </c>
      <c r="B769" s="1" t="s">
        <v>3</v>
      </c>
      <c r="C769" s="2">
        <v>43282</v>
      </c>
    </row>
    <row r="770" spans="1:3" x14ac:dyDescent="0.3">
      <c r="A770">
        <v>23746</v>
      </c>
      <c r="B770" s="1" t="s">
        <v>3</v>
      </c>
      <c r="C770" s="2">
        <v>43188</v>
      </c>
    </row>
    <row r="771" spans="1:3" x14ac:dyDescent="0.3">
      <c r="A771">
        <v>86939</v>
      </c>
      <c r="B771" s="1" t="s">
        <v>4</v>
      </c>
      <c r="C771" s="2">
        <v>43250</v>
      </c>
    </row>
    <row r="772" spans="1:3" x14ac:dyDescent="0.3">
      <c r="A772">
        <v>73117</v>
      </c>
      <c r="B772" s="1" t="s">
        <v>4</v>
      </c>
      <c r="C772" s="2">
        <v>43082</v>
      </c>
    </row>
    <row r="773" spans="1:3" x14ac:dyDescent="0.3">
      <c r="A773">
        <v>37138</v>
      </c>
      <c r="B773" s="1" t="s">
        <v>3</v>
      </c>
      <c r="C773" s="2">
        <v>43141</v>
      </c>
    </row>
    <row r="774" spans="1:3" x14ac:dyDescent="0.3">
      <c r="A774">
        <v>22648</v>
      </c>
      <c r="B774" s="1" t="s">
        <v>3</v>
      </c>
      <c r="C774" s="2">
        <v>43165</v>
      </c>
    </row>
    <row r="775" spans="1:3" x14ac:dyDescent="0.3">
      <c r="A775">
        <v>88771</v>
      </c>
      <c r="B775" s="1" t="s">
        <v>4</v>
      </c>
      <c r="C775" s="2">
        <v>43261</v>
      </c>
    </row>
    <row r="776" spans="1:3" x14ac:dyDescent="0.3">
      <c r="A776">
        <v>80282</v>
      </c>
      <c r="B776" s="1" t="s">
        <v>4</v>
      </c>
      <c r="C776" s="2">
        <v>43181</v>
      </c>
    </row>
    <row r="777" spans="1:3" x14ac:dyDescent="0.3">
      <c r="A777">
        <v>33088</v>
      </c>
      <c r="B777" s="1" t="s">
        <v>4</v>
      </c>
      <c r="C777" s="2">
        <v>43140</v>
      </c>
    </row>
    <row r="778" spans="1:3" x14ac:dyDescent="0.3">
      <c r="A778">
        <v>74456</v>
      </c>
      <c r="B778" s="1" t="s">
        <v>4</v>
      </c>
      <c r="C778" s="2">
        <v>43219</v>
      </c>
    </row>
    <row r="779" spans="1:3" x14ac:dyDescent="0.3">
      <c r="A779">
        <v>14932</v>
      </c>
      <c r="B779" s="1" t="s">
        <v>3</v>
      </c>
      <c r="C779" s="2">
        <v>43129</v>
      </c>
    </row>
    <row r="780" spans="1:3" x14ac:dyDescent="0.3">
      <c r="A780">
        <v>85091</v>
      </c>
      <c r="B780" s="1" t="s">
        <v>3</v>
      </c>
      <c r="C780" s="2">
        <v>43171</v>
      </c>
    </row>
    <row r="781" spans="1:3" x14ac:dyDescent="0.3">
      <c r="A781">
        <v>94298</v>
      </c>
      <c r="B781" s="1" t="s">
        <v>3</v>
      </c>
      <c r="C781" s="2">
        <v>43210</v>
      </c>
    </row>
    <row r="782" spans="1:3" x14ac:dyDescent="0.3">
      <c r="A782">
        <v>57449</v>
      </c>
      <c r="B782" s="1" t="s">
        <v>4</v>
      </c>
      <c r="C782" s="2">
        <v>43103</v>
      </c>
    </row>
    <row r="783" spans="1:3" x14ac:dyDescent="0.3">
      <c r="A783">
        <v>5835</v>
      </c>
      <c r="B783" s="1" t="s">
        <v>3</v>
      </c>
      <c r="C783" s="2">
        <v>43083</v>
      </c>
    </row>
    <row r="784" spans="1:3" x14ac:dyDescent="0.3">
      <c r="A784">
        <v>54721</v>
      </c>
      <c r="B784" s="1" t="s">
        <v>4</v>
      </c>
      <c r="C784" s="2">
        <v>43174</v>
      </c>
    </row>
    <row r="785" spans="1:3" x14ac:dyDescent="0.3">
      <c r="A785">
        <v>35980</v>
      </c>
      <c r="B785" s="1" t="s">
        <v>4</v>
      </c>
      <c r="C785" s="2">
        <v>43098</v>
      </c>
    </row>
    <row r="786" spans="1:3" x14ac:dyDescent="0.3">
      <c r="A786">
        <v>91557</v>
      </c>
      <c r="B786" s="1" t="s">
        <v>4</v>
      </c>
      <c r="C786" s="2">
        <v>43249</v>
      </c>
    </row>
    <row r="787" spans="1:3" x14ac:dyDescent="0.3">
      <c r="A787">
        <v>58947</v>
      </c>
      <c r="B787" s="1" t="s">
        <v>4</v>
      </c>
      <c r="C787" s="2">
        <v>43227</v>
      </c>
    </row>
    <row r="788" spans="1:3" x14ac:dyDescent="0.3">
      <c r="A788">
        <v>64586</v>
      </c>
      <c r="B788" s="1" t="s">
        <v>3</v>
      </c>
      <c r="C788" s="2">
        <v>43209</v>
      </c>
    </row>
    <row r="789" spans="1:3" x14ac:dyDescent="0.3">
      <c r="A789">
        <v>35363</v>
      </c>
      <c r="B789" s="1" t="s">
        <v>3</v>
      </c>
      <c r="C789" s="2">
        <v>43112</v>
      </c>
    </row>
    <row r="790" spans="1:3" x14ac:dyDescent="0.3">
      <c r="A790">
        <v>81191</v>
      </c>
      <c r="B790" s="1" t="s">
        <v>4</v>
      </c>
      <c r="C790" s="2">
        <v>43179</v>
      </c>
    </row>
    <row r="791" spans="1:3" x14ac:dyDescent="0.3">
      <c r="A791">
        <v>33324</v>
      </c>
      <c r="B791" s="1" t="s">
        <v>4</v>
      </c>
      <c r="C791" s="2">
        <v>43206</v>
      </c>
    </row>
    <row r="792" spans="1:3" x14ac:dyDescent="0.3">
      <c r="A792">
        <v>89535</v>
      </c>
      <c r="B792" s="1" t="s">
        <v>3</v>
      </c>
      <c r="C792" s="2">
        <v>43131</v>
      </c>
    </row>
    <row r="793" spans="1:3" x14ac:dyDescent="0.3">
      <c r="A793">
        <v>45652</v>
      </c>
      <c r="B793" s="1" t="s">
        <v>4</v>
      </c>
      <c r="C793" s="2">
        <v>43193</v>
      </c>
    </row>
    <row r="794" spans="1:3" x14ac:dyDescent="0.3">
      <c r="A794">
        <v>16325</v>
      </c>
      <c r="B794" s="1" t="s">
        <v>3</v>
      </c>
      <c r="C794" s="2">
        <v>43127</v>
      </c>
    </row>
    <row r="795" spans="1:3" x14ac:dyDescent="0.3">
      <c r="A795">
        <v>35781</v>
      </c>
      <c r="B795" s="1" t="s">
        <v>4</v>
      </c>
      <c r="C795" s="2">
        <v>43199</v>
      </c>
    </row>
    <row r="796" spans="1:3" x14ac:dyDescent="0.3">
      <c r="A796">
        <v>89850</v>
      </c>
      <c r="B796" s="1" t="s">
        <v>3</v>
      </c>
      <c r="C796" s="2">
        <v>43223</v>
      </c>
    </row>
    <row r="797" spans="1:3" x14ac:dyDescent="0.3">
      <c r="A797">
        <v>60389</v>
      </c>
      <c r="B797" s="1" t="s">
        <v>3</v>
      </c>
      <c r="C797" s="2">
        <v>43257</v>
      </c>
    </row>
    <row r="798" spans="1:3" x14ac:dyDescent="0.3">
      <c r="A798">
        <v>91817</v>
      </c>
      <c r="B798" s="1" t="s">
        <v>4</v>
      </c>
      <c r="C798" s="2">
        <v>43194</v>
      </c>
    </row>
    <row r="799" spans="1:3" x14ac:dyDescent="0.3">
      <c r="A799">
        <v>55408</v>
      </c>
      <c r="B799" s="1" t="s">
        <v>3</v>
      </c>
      <c r="C799" s="2">
        <v>43119</v>
      </c>
    </row>
    <row r="800" spans="1:3" x14ac:dyDescent="0.3">
      <c r="A800">
        <v>10892</v>
      </c>
      <c r="B800" s="1" t="s">
        <v>3</v>
      </c>
      <c r="C800" s="2">
        <v>43107</v>
      </c>
    </row>
    <row r="801" spans="1:3" x14ac:dyDescent="0.3">
      <c r="A801">
        <v>58486</v>
      </c>
      <c r="B801" s="1" t="s">
        <v>3</v>
      </c>
      <c r="C801" s="2">
        <v>43089</v>
      </c>
    </row>
    <row r="802" spans="1:3" x14ac:dyDescent="0.3">
      <c r="A802">
        <v>55699</v>
      </c>
      <c r="B802" s="1" t="s">
        <v>3</v>
      </c>
      <c r="C802" s="2">
        <v>43277</v>
      </c>
    </row>
    <row r="803" spans="1:3" x14ac:dyDescent="0.3">
      <c r="A803">
        <v>69323</v>
      </c>
      <c r="B803" s="1" t="s">
        <v>3</v>
      </c>
      <c r="C803" s="2">
        <v>43189</v>
      </c>
    </row>
    <row r="804" spans="1:3" x14ac:dyDescent="0.3">
      <c r="A804">
        <v>36261</v>
      </c>
      <c r="B804" s="1" t="s">
        <v>3</v>
      </c>
      <c r="C804" s="2">
        <v>43100</v>
      </c>
    </row>
    <row r="805" spans="1:3" x14ac:dyDescent="0.3">
      <c r="A805">
        <v>99675</v>
      </c>
      <c r="B805" s="1" t="s">
        <v>4</v>
      </c>
      <c r="C805" s="2">
        <v>43105</v>
      </c>
    </row>
    <row r="806" spans="1:3" x14ac:dyDescent="0.3">
      <c r="A806">
        <v>57918</v>
      </c>
      <c r="B806" s="1" t="s">
        <v>4</v>
      </c>
      <c r="C806" s="2">
        <v>43113</v>
      </c>
    </row>
    <row r="807" spans="1:3" x14ac:dyDescent="0.3">
      <c r="A807">
        <v>67285</v>
      </c>
      <c r="B807" s="1" t="s">
        <v>4</v>
      </c>
      <c r="C807" s="2">
        <v>43264</v>
      </c>
    </row>
    <row r="808" spans="1:3" x14ac:dyDescent="0.3">
      <c r="A808">
        <v>37238</v>
      </c>
      <c r="B808" s="1" t="s">
        <v>4</v>
      </c>
      <c r="C808" s="2">
        <v>43094</v>
      </c>
    </row>
    <row r="809" spans="1:3" x14ac:dyDescent="0.3">
      <c r="A809">
        <v>73600</v>
      </c>
      <c r="B809" s="1" t="s">
        <v>4</v>
      </c>
      <c r="C809" s="2">
        <v>43231</v>
      </c>
    </row>
    <row r="810" spans="1:3" x14ac:dyDescent="0.3">
      <c r="A810">
        <v>87784</v>
      </c>
      <c r="B810" s="1" t="s">
        <v>4</v>
      </c>
      <c r="C810" s="2">
        <v>43165</v>
      </c>
    </row>
    <row r="811" spans="1:3" x14ac:dyDescent="0.3">
      <c r="A811">
        <v>40435</v>
      </c>
      <c r="B811" s="1" t="s">
        <v>4</v>
      </c>
      <c r="C811" s="2">
        <v>43135</v>
      </c>
    </row>
    <row r="812" spans="1:3" x14ac:dyDescent="0.3">
      <c r="A812">
        <v>34608</v>
      </c>
      <c r="B812" s="1" t="s">
        <v>3</v>
      </c>
      <c r="C812" s="2">
        <v>43186</v>
      </c>
    </row>
    <row r="813" spans="1:3" x14ac:dyDescent="0.3">
      <c r="A813">
        <v>41639</v>
      </c>
      <c r="B813" s="1" t="s">
        <v>4</v>
      </c>
      <c r="C813" s="2">
        <v>43254</v>
      </c>
    </row>
    <row r="814" spans="1:3" x14ac:dyDescent="0.3">
      <c r="A814">
        <v>98519</v>
      </c>
      <c r="B814" s="1" t="s">
        <v>3</v>
      </c>
      <c r="C814" s="2">
        <v>43185</v>
      </c>
    </row>
    <row r="815" spans="1:3" x14ac:dyDescent="0.3">
      <c r="A815">
        <v>98173</v>
      </c>
      <c r="B815" s="1" t="s">
        <v>4</v>
      </c>
      <c r="C815" s="2">
        <v>43139</v>
      </c>
    </row>
    <row r="816" spans="1:3" x14ac:dyDescent="0.3">
      <c r="A816">
        <v>12721</v>
      </c>
      <c r="B816" s="1" t="s">
        <v>3</v>
      </c>
      <c r="C816" s="2">
        <v>43249</v>
      </c>
    </row>
    <row r="817" spans="1:3" x14ac:dyDescent="0.3">
      <c r="A817">
        <v>28767</v>
      </c>
      <c r="B817" s="1" t="s">
        <v>3</v>
      </c>
      <c r="C817" s="2">
        <v>43194</v>
      </c>
    </row>
    <row r="818" spans="1:3" x14ac:dyDescent="0.3">
      <c r="A818">
        <v>92180</v>
      </c>
      <c r="B818" s="1" t="s">
        <v>4</v>
      </c>
      <c r="C818" s="2">
        <v>43125</v>
      </c>
    </row>
    <row r="819" spans="1:3" x14ac:dyDescent="0.3">
      <c r="A819">
        <v>68300</v>
      </c>
      <c r="B819" s="1" t="s">
        <v>4</v>
      </c>
      <c r="C819" s="2">
        <v>43269</v>
      </c>
    </row>
    <row r="820" spans="1:3" x14ac:dyDescent="0.3">
      <c r="A820">
        <v>33286</v>
      </c>
      <c r="B820" s="1" t="s">
        <v>4</v>
      </c>
      <c r="C820" s="2">
        <v>43134</v>
      </c>
    </row>
    <row r="821" spans="1:3" x14ac:dyDescent="0.3">
      <c r="A821">
        <v>85028</v>
      </c>
      <c r="B821" s="1" t="s">
        <v>4</v>
      </c>
      <c r="C821" s="2">
        <v>43225</v>
      </c>
    </row>
    <row r="822" spans="1:3" x14ac:dyDescent="0.3">
      <c r="A822">
        <v>45427</v>
      </c>
      <c r="B822" s="1" t="s">
        <v>4</v>
      </c>
      <c r="C822" s="2">
        <v>43116</v>
      </c>
    </row>
    <row r="823" spans="1:3" x14ac:dyDescent="0.3">
      <c r="A823">
        <v>36426</v>
      </c>
      <c r="B823" s="1" t="s">
        <v>3</v>
      </c>
      <c r="C823" s="2">
        <v>43106</v>
      </c>
    </row>
    <row r="824" spans="1:3" x14ac:dyDescent="0.3">
      <c r="A824">
        <v>94647</v>
      </c>
      <c r="B824" s="1" t="s">
        <v>3</v>
      </c>
      <c r="C824" s="2">
        <v>43243</v>
      </c>
    </row>
    <row r="825" spans="1:3" x14ac:dyDescent="0.3">
      <c r="A825">
        <v>58658</v>
      </c>
      <c r="B825" s="1" t="s">
        <v>4</v>
      </c>
      <c r="C825" s="2">
        <v>43249</v>
      </c>
    </row>
    <row r="826" spans="1:3" x14ac:dyDescent="0.3">
      <c r="A826">
        <v>72086</v>
      </c>
      <c r="B826" s="1" t="s">
        <v>3</v>
      </c>
      <c r="C826" s="2">
        <v>43158</v>
      </c>
    </row>
    <row r="827" spans="1:3" x14ac:dyDescent="0.3">
      <c r="A827">
        <v>98853</v>
      </c>
      <c r="B827" s="1" t="s">
        <v>4</v>
      </c>
      <c r="C827" s="2">
        <v>43193</v>
      </c>
    </row>
    <row r="828" spans="1:3" x14ac:dyDescent="0.3">
      <c r="A828">
        <v>53971</v>
      </c>
      <c r="B828" s="1" t="s">
        <v>3</v>
      </c>
      <c r="C828" s="2">
        <v>43259</v>
      </c>
    </row>
    <row r="829" spans="1:3" x14ac:dyDescent="0.3">
      <c r="A829">
        <v>69499</v>
      </c>
      <c r="B829" s="1" t="s">
        <v>4</v>
      </c>
      <c r="C829" s="2">
        <v>43163</v>
      </c>
    </row>
    <row r="830" spans="1:3" x14ac:dyDescent="0.3">
      <c r="A830">
        <v>10600</v>
      </c>
      <c r="B830" s="1" t="s">
        <v>3</v>
      </c>
      <c r="C830" s="2">
        <v>43275</v>
      </c>
    </row>
    <row r="831" spans="1:3" x14ac:dyDescent="0.3">
      <c r="A831">
        <v>56599</v>
      </c>
      <c r="B831" s="1" t="s">
        <v>3</v>
      </c>
      <c r="C831" s="2">
        <v>43120</v>
      </c>
    </row>
    <row r="832" spans="1:3" x14ac:dyDescent="0.3">
      <c r="A832">
        <v>22119</v>
      </c>
      <c r="B832" s="1" t="s">
        <v>3</v>
      </c>
      <c r="C832" s="2">
        <v>43174</v>
      </c>
    </row>
    <row r="833" spans="1:3" x14ac:dyDescent="0.3">
      <c r="A833">
        <v>91484</v>
      </c>
      <c r="B833" s="1" t="s">
        <v>3</v>
      </c>
      <c r="C833" s="2">
        <v>43252</v>
      </c>
    </row>
    <row r="834" spans="1:3" x14ac:dyDescent="0.3">
      <c r="A834">
        <v>47070</v>
      </c>
      <c r="B834" s="1" t="s">
        <v>4</v>
      </c>
      <c r="C834" s="2">
        <v>43190</v>
      </c>
    </row>
    <row r="835" spans="1:3" x14ac:dyDescent="0.3">
      <c r="A835">
        <v>61300</v>
      </c>
      <c r="B835" s="1" t="s">
        <v>3</v>
      </c>
      <c r="C835" s="2">
        <v>43238</v>
      </c>
    </row>
    <row r="836" spans="1:3" x14ac:dyDescent="0.3">
      <c r="A836">
        <v>37989</v>
      </c>
      <c r="B836" s="1" t="s">
        <v>3</v>
      </c>
      <c r="C836" s="2">
        <v>43106</v>
      </c>
    </row>
    <row r="837" spans="1:3" x14ac:dyDescent="0.3">
      <c r="A837">
        <v>33955</v>
      </c>
      <c r="B837" s="1" t="s">
        <v>4</v>
      </c>
      <c r="C837" s="2">
        <v>43092</v>
      </c>
    </row>
    <row r="838" spans="1:3" x14ac:dyDescent="0.3">
      <c r="A838">
        <v>53422</v>
      </c>
      <c r="B838" s="1" t="s">
        <v>3</v>
      </c>
      <c r="C838" s="2">
        <v>43224</v>
      </c>
    </row>
    <row r="839" spans="1:3" x14ac:dyDescent="0.3">
      <c r="A839">
        <v>98931</v>
      </c>
      <c r="B839" s="1" t="s">
        <v>4</v>
      </c>
      <c r="C839" s="2">
        <v>43191</v>
      </c>
    </row>
    <row r="840" spans="1:3" x14ac:dyDescent="0.3">
      <c r="A840">
        <v>10049</v>
      </c>
      <c r="B840" s="1" t="s">
        <v>3</v>
      </c>
      <c r="C840" s="2">
        <v>43232</v>
      </c>
    </row>
    <row r="841" spans="1:3" x14ac:dyDescent="0.3">
      <c r="A841">
        <v>33717</v>
      </c>
      <c r="B841" s="1" t="s">
        <v>4</v>
      </c>
      <c r="C841" s="2">
        <v>43200</v>
      </c>
    </row>
    <row r="842" spans="1:3" x14ac:dyDescent="0.3">
      <c r="A842">
        <v>88056</v>
      </c>
      <c r="B842" s="1" t="s">
        <v>4</v>
      </c>
      <c r="C842" s="2">
        <v>43171</v>
      </c>
    </row>
    <row r="843" spans="1:3" x14ac:dyDescent="0.3">
      <c r="A843">
        <v>63167</v>
      </c>
      <c r="B843" s="1" t="s">
        <v>3</v>
      </c>
      <c r="C843" s="2">
        <v>43224</v>
      </c>
    </row>
    <row r="844" spans="1:3" x14ac:dyDescent="0.3">
      <c r="A844">
        <v>46428</v>
      </c>
      <c r="B844" s="1" t="s">
        <v>4</v>
      </c>
      <c r="C844" s="2">
        <v>43165</v>
      </c>
    </row>
    <row r="845" spans="1:3" x14ac:dyDescent="0.3">
      <c r="A845">
        <v>24562</v>
      </c>
      <c r="B845" s="1" t="s">
        <v>3</v>
      </c>
      <c r="C845" s="2">
        <v>43271</v>
      </c>
    </row>
    <row r="846" spans="1:3" x14ac:dyDescent="0.3">
      <c r="A846">
        <v>45952</v>
      </c>
      <c r="B846" s="1" t="s">
        <v>3</v>
      </c>
      <c r="C846" s="2">
        <v>43146</v>
      </c>
    </row>
    <row r="847" spans="1:3" x14ac:dyDescent="0.3">
      <c r="A847">
        <v>87285</v>
      </c>
      <c r="B847" s="1" t="s">
        <v>3</v>
      </c>
      <c r="C847" s="2">
        <v>43273</v>
      </c>
    </row>
    <row r="848" spans="1:3" x14ac:dyDescent="0.3">
      <c r="A848">
        <v>5553</v>
      </c>
      <c r="B848" s="1" t="s">
        <v>3</v>
      </c>
      <c r="C848" s="2">
        <v>43258</v>
      </c>
    </row>
    <row r="849" spans="1:3" x14ac:dyDescent="0.3">
      <c r="A849">
        <v>78119</v>
      </c>
      <c r="B849" s="1" t="s">
        <v>4</v>
      </c>
      <c r="C849" s="2">
        <v>43101</v>
      </c>
    </row>
    <row r="850" spans="1:3" x14ac:dyDescent="0.3">
      <c r="A850">
        <v>82460</v>
      </c>
      <c r="B850" s="1" t="s">
        <v>4</v>
      </c>
      <c r="C850" s="2">
        <v>43210</v>
      </c>
    </row>
    <row r="851" spans="1:3" x14ac:dyDescent="0.3">
      <c r="A851">
        <v>73973</v>
      </c>
      <c r="B851" s="1" t="s">
        <v>4</v>
      </c>
      <c r="C851" s="2">
        <v>43207</v>
      </c>
    </row>
    <row r="852" spans="1:3" x14ac:dyDescent="0.3">
      <c r="A852">
        <v>82751</v>
      </c>
      <c r="B852" s="1" t="s">
        <v>4</v>
      </c>
      <c r="C852" s="2">
        <v>43234</v>
      </c>
    </row>
    <row r="853" spans="1:3" x14ac:dyDescent="0.3">
      <c r="A853">
        <v>35148</v>
      </c>
      <c r="B853" s="1" t="s">
        <v>4</v>
      </c>
      <c r="C853" s="2">
        <v>43221</v>
      </c>
    </row>
    <row r="854" spans="1:3" x14ac:dyDescent="0.3">
      <c r="A854">
        <v>67255</v>
      </c>
      <c r="B854" s="1" t="s">
        <v>4</v>
      </c>
      <c r="C854" s="2">
        <v>43188</v>
      </c>
    </row>
    <row r="855" spans="1:3" x14ac:dyDescent="0.3">
      <c r="A855">
        <v>2829</v>
      </c>
      <c r="B855" s="1" t="s">
        <v>3</v>
      </c>
      <c r="C855" s="2">
        <v>43265</v>
      </c>
    </row>
    <row r="856" spans="1:3" x14ac:dyDescent="0.3">
      <c r="A856">
        <v>57251</v>
      </c>
      <c r="B856" s="1" t="s">
        <v>3</v>
      </c>
      <c r="C856" s="2">
        <v>43207</v>
      </c>
    </row>
    <row r="857" spans="1:3" x14ac:dyDescent="0.3">
      <c r="A857">
        <v>8431</v>
      </c>
      <c r="B857" s="1" t="s">
        <v>3</v>
      </c>
      <c r="C857" s="2">
        <v>43274</v>
      </c>
    </row>
    <row r="858" spans="1:3" x14ac:dyDescent="0.3">
      <c r="A858">
        <v>68866</v>
      </c>
      <c r="B858" s="1" t="s">
        <v>4</v>
      </c>
      <c r="C858" s="2">
        <v>43125</v>
      </c>
    </row>
    <row r="859" spans="1:3" x14ac:dyDescent="0.3">
      <c r="A859">
        <v>58647</v>
      </c>
      <c r="B859" s="1" t="s">
        <v>3</v>
      </c>
      <c r="C859" s="2">
        <v>43269</v>
      </c>
    </row>
    <row r="860" spans="1:3" x14ac:dyDescent="0.3">
      <c r="A860">
        <v>89369</v>
      </c>
      <c r="B860" s="1" t="s">
        <v>4</v>
      </c>
      <c r="C860" s="2">
        <v>43262</v>
      </c>
    </row>
    <row r="861" spans="1:3" x14ac:dyDescent="0.3">
      <c r="A861">
        <v>87091</v>
      </c>
      <c r="B861" s="1" t="s">
        <v>4</v>
      </c>
      <c r="C861" s="2">
        <v>43245</v>
      </c>
    </row>
    <row r="862" spans="1:3" x14ac:dyDescent="0.3">
      <c r="A862">
        <v>75046</v>
      </c>
      <c r="B862" s="1" t="s">
        <v>3</v>
      </c>
      <c r="C862" s="2">
        <v>43281</v>
      </c>
    </row>
    <row r="863" spans="1:3" x14ac:dyDescent="0.3">
      <c r="A863">
        <v>45233</v>
      </c>
      <c r="B863" s="1" t="s">
        <v>4</v>
      </c>
      <c r="C863" s="2">
        <v>43109</v>
      </c>
    </row>
    <row r="864" spans="1:3" x14ac:dyDescent="0.3">
      <c r="A864">
        <v>81044</v>
      </c>
      <c r="B864" s="1" t="s">
        <v>3</v>
      </c>
      <c r="C864" s="2">
        <v>43175</v>
      </c>
    </row>
    <row r="865" spans="1:3" x14ac:dyDescent="0.3">
      <c r="A865">
        <v>65247</v>
      </c>
      <c r="B865" s="1" t="s">
        <v>4</v>
      </c>
      <c r="C865" s="2">
        <v>43144</v>
      </c>
    </row>
    <row r="866" spans="1:3" x14ac:dyDescent="0.3">
      <c r="A866">
        <v>6010</v>
      </c>
      <c r="B866" s="1" t="s">
        <v>3</v>
      </c>
      <c r="C866" s="2">
        <v>43218</v>
      </c>
    </row>
    <row r="867" spans="1:3" x14ac:dyDescent="0.3">
      <c r="A867">
        <v>92497</v>
      </c>
      <c r="B867" s="1" t="s">
        <v>4</v>
      </c>
      <c r="C867" s="2">
        <v>43172</v>
      </c>
    </row>
    <row r="868" spans="1:3" x14ac:dyDescent="0.3">
      <c r="A868">
        <v>91757</v>
      </c>
      <c r="B868" s="1" t="s">
        <v>4</v>
      </c>
      <c r="C868" s="2">
        <v>43128</v>
      </c>
    </row>
    <row r="869" spans="1:3" x14ac:dyDescent="0.3">
      <c r="A869">
        <v>85040</v>
      </c>
      <c r="B869" s="1" t="s">
        <v>3</v>
      </c>
      <c r="C869" s="2">
        <v>43094</v>
      </c>
    </row>
    <row r="870" spans="1:3" x14ac:dyDescent="0.3">
      <c r="A870">
        <v>30630</v>
      </c>
      <c r="B870" s="1" t="s">
        <v>3</v>
      </c>
      <c r="C870" s="2">
        <v>43208</v>
      </c>
    </row>
    <row r="871" spans="1:3" x14ac:dyDescent="0.3">
      <c r="A871">
        <v>55168</v>
      </c>
      <c r="B871" s="1" t="s">
        <v>3</v>
      </c>
      <c r="C871" s="2">
        <v>43203</v>
      </c>
    </row>
    <row r="872" spans="1:3" x14ac:dyDescent="0.3">
      <c r="A872">
        <v>51257</v>
      </c>
      <c r="B872" s="1" t="s">
        <v>3</v>
      </c>
      <c r="C872" s="2">
        <v>43128</v>
      </c>
    </row>
    <row r="873" spans="1:3" x14ac:dyDescent="0.3">
      <c r="A873">
        <v>93962</v>
      </c>
      <c r="B873" s="1" t="s">
        <v>4</v>
      </c>
      <c r="C873" s="2">
        <v>43132</v>
      </c>
    </row>
    <row r="874" spans="1:3" x14ac:dyDescent="0.3">
      <c r="A874">
        <v>58570</v>
      </c>
      <c r="B874" s="1" t="s">
        <v>3</v>
      </c>
      <c r="C874" s="2">
        <v>43096</v>
      </c>
    </row>
    <row r="875" spans="1:3" x14ac:dyDescent="0.3">
      <c r="A875">
        <v>55381</v>
      </c>
      <c r="B875" s="1" t="s">
        <v>4</v>
      </c>
      <c r="C875" s="2">
        <v>43110</v>
      </c>
    </row>
    <row r="876" spans="1:3" x14ac:dyDescent="0.3">
      <c r="A876">
        <v>34113</v>
      </c>
      <c r="B876" s="1" t="s">
        <v>4</v>
      </c>
      <c r="C876" s="2">
        <v>43120</v>
      </c>
    </row>
    <row r="877" spans="1:3" x14ac:dyDescent="0.3">
      <c r="A877">
        <v>83872</v>
      </c>
      <c r="B877" s="1" t="s">
        <v>3</v>
      </c>
      <c r="C877" s="2">
        <v>43243</v>
      </c>
    </row>
    <row r="878" spans="1:3" x14ac:dyDescent="0.3">
      <c r="A878">
        <v>77035</v>
      </c>
      <c r="B878" s="1" t="s">
        <v>4</v>
      </c>
      <c r="C878" s="2">
        <v>43217</v>
      </c>
    </row>
    <row r="879" spans="1:3" x14ac:dyDescent="0.3">
      <c r="A879">
        <v>89097</v>
      </c>
      <c r="B879" s="1" t="s">
        <v>4</v>
      </c>
      <c r="C879" s="2">
        <v>43254</v>
      </c>
    </row>
    <row r="880" spans="1:3" x14ac:dyDescent="0.3">
      <c r="A880">
        <v>74414</v>
      </c>
      <c r="B880" s="1" t="s">
        <v>4</v>
      </c>
      <c r="C880" s="2">
        <v>43155</v>
      </c>
    </row>
    <row r="881" spans="1:3" x14ac:dyDescent="0.3">
      <c r="A881">
        <v>60300</v>
      </c>
      <c r="B881" s="1" t="s">
        <v>3</v>
      </c>
      <c r="C881" s="2">
        <v>43131</v>
      </c>
    </row>
    <row r="882" spans="1:3" x14ac:dyDescent="0.3">
      <c r="A882">
        <v>18049</v>
      </c>
      <c r="B882" s="1" t="s">
        <v>3</v>
      </c>
      <c r="C882" s="2">
        <v>43118</v>
      </c>
    </row>
    <row r="883" spans="1:3" x14ac:dyDescent="0.3">
      <c r="A883">
        <v>97456</v>
      </c>
      <c r="B883" s="1" t="s">
        <v>4</v>
      </c>
      <c r="C883" s="2">
        <v>43274</v>
      </c>
    </row>
    <row r="884" spans="1:3" x14ac:dyDescent="0.3">
      <c r="A884">
        <v>72173</v>
      </c>
      <c r="B884" s="1" t="s">
        <v>3</v>
      </c>
      <c r="C884" s="2">
        <v>43162</v>
      </c>
    </row>
    <row r="885" spans="1:3" x14ac:dyDescent="0.3">
      <c r="A885">
        <v>24940</v>
      </c>
      <c r="B885" s="1" t="s">
        <v>3</v>
      </c>
      <c r="C885" s="2">
        <v>43269</v>
      </c>
    </row>
    <row r="886" spans="1:3" x14ac:dyDescent="0.3">
      <c r="A886">
        <v>68748</v>
      </c>
      <c r="B886" s="1" t="s">
        <v>3</v>
      </c>
      <c r="C886" s="2">
        <v>43161</v>
      </c>
    </row>
    <row r="887" spans="1:3" x14ac:dyDescent="0.3">
      <c r="A887">
        <v>30644</v>
      </c>
      <c r="B887" s="1" t="s">
        <v>3</v>
      </c>
      <c r="C887" s="2">
        <v>43166</v>
      </c>
    </row>
    <row r="888" spans="1:3" x14ac:dyDescent="0.3">
      <c r="A888">
        <v>59448</v>
      </c>
      <c r="B888" s="1" t="s">
        <v>4</v>
      </c>
      <c r="C888" s="2">
        <v>43229</v>
      </c>
    </row>
    <row r="889" spans="1:3" x14ac:dyDescent="0.3">
      <c r="A889">
        <v>20512</v>
      </c>
      <c r="B889" s="1" t="s">
        <v>3</v>
      </c>
      <c r="C889" s="2">
        <v>43140</v>
      </c>
    </row>
    <row r="890" spans="1:3" x14ac:dyDescent="0.3">
      <c r="A890">
        <v>65219</v>
      </c>
      <c r="B890" s="1" t="s">
        <v>4</v>
      </c>
      <c r="C890" s="2">
        <v>43116</v>
      </c>
    </row>
    <row r="891" spans="1:3" x14ac:dyDescent="0.3">
      <c r="A891">
        <v>90068</v>
      </c>
      <c r="B891" s="1" t="s">
        <v>4</v>
      </c>
      <c r="C891" s="2">
        <v>43102</v>
      </c>
    </row>
    <row r="892" spans="1:3" x14ac:dyDescent="0.3">
      <c r="A892">
        <v>18972</v>
      </c>
      <c r="B892" s="1" t="s">
        <v>3</v>
      </c>
      <c r="C892" s="2">
        <v>43110</v>
      </c>
    </row>
    <row r="893" spans="1:3" x14ac:dyDescent="0.3">
      <c r="A893">
        <v>41154</v>
      </c>
      <c r="B893" s="1" t="s">
        <v>4</v>
      </c>
      <c r="C893" s="2">
        <v>43126</v>
      </c>
    </row>
    <row r="894" spans="1:3" x14ac:dyDescent="0.3">
      <c r="A894">
        <v>20477</v>
      </c>
      <c r="B894" s="1" t="s">
        <v>3</v>
      </c>
      <c r="C894" s="2">
        <v>43271</v>
      </c>
    </row>
    <row r="895" spans="1:3" x14ac:dyDescent="0.3">
      <c r="A895">
        <v>71987</v>
      </c>
      <c r="B895" s="1" t="s">
        <v>4</v>
      </c>
      <c r="C895" s="2">
        <v>43113</v>
      </c>
    </row>
    <row r="896" spans="1:3" x14ac:dyDescent="0.3">
      <c r="A896">
        <v>4594</v>
      </c>
      <c r="B896" s="1" t="s">
        <v>3</v>
      </c>
      <c r="C896" s="2">
        <v>43249</v>
      </c>
    </row>
    <row r="897" spans="1:3" x14ac:dyDescent="0.3">
      <c r="A897">
        <v>49190</v>
      </c>
      <c r="B897" s="1" t="s">
        <v>3</v>
      </c>
      <c r="C897" s="2">
        <v>43269</v>
      </c>
    </row>
    <row r="898" spans="1:3" x14ac:dyDescent="0.3">
      <c r="A898">
        <v>36982</v>
      </c>
      <c r="B898" s="1" t="s">
        <v>3</v>
      </c>
      <c r="C898" s="2">
        <v>43253</v>
      </c>
    </row>
    <row r="899" spans="1:3" x14ac:dyDescent="0.3">
      <c r="A899">
        <v>70134</v>
      </c>
      <c r="B899" s="1" t="s">
        <v>4</v>
      </c>
      <c r="C899" s="2">
        <v>43212</v>
      </c>
    </row>
    <row r="900" spans="1:3" x14ac:dyDescent="0.3">
      <c r="A900">
        <v>48574</v>
      </c>
      <c r="B900" s="1" t="s">
        <v>4</v>
      </c>
      <c r="C900" s="2">
        <v>43243</v>
      </c>
    </row>
    <row r="901" spans="1:3" x14ac:dyDescent="0.3">
      <c r="A901">
        <v>65476</v>
      </c>
      <c r="B901" s="1" t="s">
        <v>4</v>
      </c>
      <c r="C901" s="2">
        <v>43082</v>
      </c>
    </row>
    <row r="902" spans="1:3" x14ac:dyDescent="0.3">
      <c r="A902">
        <v>91617</v>
      </c>
      <c r="B902" s="1" t="s">
        <v>3</v>
      </c>
      <c r="C902" s="2">
        <v>43101</v>
      </c>
    </row>
    <row r="903" spans="1:3" x14ac:dyDescent="0.3">
      <c r="A903">
        <v>22954</v>
      </c>
      <c r="B903" s="1" t="s">
        <v>3</v>
      </c>
      <c r="C903" s="2">
        <v>43200</v>
      </c>
    </row>
    <row r="904" spans="1:3" x14ac:dyDescent="0.3">
      <c r="A904">
        <v>61424</v>
      </c>
      <c r="B904" s="1" t="s">
        <v>3</v>
      </c>
      <c r="C904" s="2">
        <v>43227</v>
      </c>
    </row>
    <row r="905" spans="1:3" x14ac:dyDescent="0.3">
      <c r="A905">
        <v>68116</v>
      </c>
      <c r="B905" s="1" t="s">
        <v>3</v>
      </c>
      <c r="C905" s="2">
        <v>43183</v>
      </c>
    </row>
    <row r="906" spans="1:3" x14ac:dyDescent="0.3">
      <c r="A906">
        <v>42504</v>
      </c>
      <c r="B906" s="1" t="s">
        <v>4</v>
      </c>
      <c r="C906" s="2">
        <v>43184</v>
      </c>
    </row>
    <row r="907" spans="1:3" x14ac:dyDescent="0.3">
      <c r="A907">
        <v>75283</v>
      </c>
      <c r="B907" s="1" t="s">
        <v>3</v>
      </c>
      <c r="C907" s="2">
        <v>43239</v>
      </c>
    </row>
    <row r="908" spans="1:3" x14ac:dyDescent="0.3">
      <c r="A908">
        <v>76259</v>
      </c>
      <c r="B908" s="1" t="s">
        <v>4</v>
      </c>
      <c r="C908" s="2">
        <v>43089</v>
      </c>
    </row>
    <row r="909" spans="1:3" x14ac:dyDescent="0.3">
      <c r="A909">
        <v>48467</v>
      </c>
      <c r="B909" s="1" t="s">
        <v>3</v>
      </c>
      <c r="C909" s="2">
        <v>43184</v>
      </c>
    </row>
    <row r="910" spans="1:3" x14ac:dyDescent="0.3">
      <c r="A910">
        <v>55759</v>
      </c>
      <c r="B910" s="1" t="s">
        <v>3</v>
      </c>
      <c r="C910" s="2">
        <v>43112</v>
      </c>
    </row>
    <row r="911" spans="1:3" x14ac:dyDescent="0.3">
      <c r="A911">
        <v>91504</v>
      </c>
      <c r="B911" s="1" t="s">
        <v>3</v>
      </c>
      <c r="C911" s="2">
        <v>43172</v>
      </c>
    </row>
    <row r="912" spans="1:3" x14ac:dyDescent="0.3">
      <c r="A912">
        <v>65124</v>
      </c>
      <c r="B912" s="1" t="s">
        <v>4</v>
      </c>
      <c r="C912" s="2">
        <v>43224</v>
      </c>
    </row>
    <row r="913" spans="1:3" x14ac:dyDescent="0.3">
      <c r="A913">
        <v>56462</v>
      </c>
      <c r="B913" s="1" t="s">
        <v>4</v>
      </c>
      <c r="C913" s="2">
        <v>43187</v>
      </c>
    </row>
    <row r="914" spans="1:3" x14ac:dyDescent="0.3">
      <c r="A914">
        <v>97799</v>
      </c>
      <c r="B914" s="1" t="s">
        <v>3</v>
      </c>
      <c r="C914" s="2">
        <v>43128</v>
      </c>
    </row>
    <row r="915" spans="1:3" x14ac:dyDescent="0.3">
      <c r="A915">
        <v>62544</v>
      </c>
      <c r="B915" s="1" t="s">
        <v>4</v>
      </c>
      <c r="C915" s="2">
        <v>43234</v>
      </c>
    </row>
    <row r="916" spans="1:3" x14ac:dyDescent="0.3">
      <c r="A916">
        <v>59245</v>
      </c>
      <c r="B916" s="1" t="s">
        <v>3</v>
      </c>
      <c r="C916" s="2">
        <v>43125</v>
      </c>
    </row>
    <row r="917" spans="1:3" x14ac:dyDescent="0.3">
      <c r="A917">
        <v>32473</v>
      </c>
      <c r="B917" s="1" t="s">
        <v>3</v>
      </c>
      <c r="C917" s="2">
        <v>43235</v>
      </c>
    </row>
    <row r="918" spans="1:3" x14ac:dyDescent="0.3">
      <c r="A918">
        <v>93274</v>
      </c>
      <c r="B918" s="1" t="s">
        <v>3</v>
      </c>
      <c r="C918" s="2">
        <v>43202</v>
      </c>
    </row>
    <row r="919" spans="1:3" x14ac:dyDescent="0.3">
      <c r="A919">
        <v>35343</v>
      </c>
      <c r="B919" s="1" t="s">
        <v>3</v>
      </c>
      <c r="C919" s="2">
        <v>43200</v>
      </c>
    </row>
    <row r="920" spans="1:3" x14ac:dyDescent="0.3">
      <c r="A920">
        <v>74828</v>
      </c>
      <c r="B920" s="1" t="s">
        <v>3</v>
      </c>
      <c r="C920" s="2">
        <v>43101</v>
      </c>
    </row>
    <row r="921" spans="1:3" x14ac:dyDescent="0.3">
      <c r="A921">
        <v>30340</v>
      </c>
      <c r="B921" s="1" t="s">
        <v>3</v>
      </c>
      <c r="C921" s="2">
        <v>43267</v>
      </c>
    </row>
    <row r="922" spans="1:3" x14ac:dyDescent="0.3">
      <c r="A922">
        <v>59058</v>
      </c>
      <c r="B922" s="1" t="s">
        <v>4</v>
      </c>
      <c r="C922" s="2">
        <v>43208</v>
      </c>
    </row>
    <row r="923" spans="1:3" x14ac:dyDescent="0.3">
      <c r="A923">
        <v>61706</v>
      </c>
      <c r="B923" s="1" t="s">
        <v>4</v>
      </c>
      <c r="C923" s="2">
        <v>43215</v>
      </c>
    </row>
    <row r="924" spans="1:3" x14ac:dyDescent="0.3">
      <c r="A924">
        <v>17346</v>
      </c>
      <c r="B924" s="1" t="s">
        <v>3</v>
      </c>
      <c r="C924" s="2">
        <v>43151</v>
      </c>
    </row>
    <row r="925" spans="1:3" x14ac:dyDescent="0.3">
      <c r="A925">
        <v>5607</v>
      </c>
      <c r="B925" s="1" t="s">
        <v>3</v>
      </c>
      <c r="C925" s="2">
        <v>43153</v>
      </c>
    </row>
    <row r="926" spans="1:3" x14ac:dyDescent="0.3">
      <c r="A926">
        <v>33718</v>
      </c>
      <c r="B926" s="1" t="s">
        <v>4</v>
      </c>
      <c r="C926" s="2">
        <v>43201</v>
      </c>
    </row>
    <row r="927" spans="1:3" x14ac:dyDescent="0.3">
      <c r="A927">
        <v>91718</v>
      </c>
      <c r="B927" s="1" t="s">
        <v>3</v>
      </c>
      <c r="C927" s="2">
        <v>43096</v>
      </c>
    </row>
    <row r="928" spans="1:3" x14ac:dyDescent="0.3">
      <c r="A928">
        <v>76175</v>
      </c>
      <c r="B928" s="1" t="s">
        <v>3</v>
      </c>
      <c r="C928" s="2">
        <v>43108</v>
      </c>
    </row>
    <row r="929" spans="1:3" x14ac:dyDescent="0.3">
      <c r="A929">
        <v>76292</v>
      </c>
      <c r="B929" s="1" t="s">
        <v>3</v>
      </c>
      <c r="C929" s="2">
        <v>43225</v>
      </c>
    </row>
    <row r="930" spans="1:3" x14ac:dyDescent="0.3">
      <c r="A930">
        <v>88758</v>
      </c>
      <c r="B930" s="1" t="s">
        <v>3</v>
      </c>
      <c r="C930" s="2">
        <v>43185</v>
      </c>
    </row>
    <row r="931" spans="1:3" x14ac:dyDescent="0.3">
      <c r="A931">
        <v>34441</v>
      </c>
      <c r="B931" s="1" t="s">
        <v>4</v>
      </c>
      <c r="C931" s="2">
        <v>43230</v>
      </c>
    </row>
    <row r="932" spans="1:3" x14ac:dyDescent="0.3">
      <c r="A932">
        <v>83924</v>
      </c>
      <c r="B932" s="1" t="s">
        <v>4</v>
      </c>
      <c r="C932" s="2">
        <v>43234</v>
      </c>
    </row>
    <row r="933" spans="1:3" x14ac:dyDescent="0.3">
      <c r="A933">
        <v>46426</v>
      </c>
      <c r="B933" s="1" t="s">
        <v>3</v>
      </c>
      <c r="C933" s="2">
        <v>43130</v>
      </c>
    </row>
    <row r="934" spans="1:3" x14ac:dyDescent="0.3">
      <c r="A934">
        <v>65626</v>
      </c>
      <c r="B934" s="1" t="s">
        <v>4</v>
      </c>
      <c r="C934" s="2">
        <v>43263</v>
      </c>
    </row>
    <row r="935" spans="1:3" x14ac:dyDescent="0.3">
      <c r="A935">
        <v>21465</v>
      </c>
      <c r="B935" s="1" t="s">
        <v>3</v>
      </c>
      <c r="C935" s="2">
        <v>43125</v>
      </c>
    </row>
    <row r="936" spans="1:3" x14ac:dyDescent="0.3">
      <c r="A936">
        <v>84610</v>
      </c>
      <c r="B936" s="1" t="s">
        <v>3</v>
      </c>
      <c r="C936" s="2">
        <v>43208</v>
      </c>
    </row>
    <row r="937" spans="1:3" x14ac:dyDescent="0.3">
      <c r="A937">
        <v>80595</v>
      </c>
      <c r="B937" s="1" t="s">
        <v>3</v>
      </c>
      <c r="C937" s="2">
        <v>43120</v>
      </c>
    </row>
    <row r="938" spans="1:3" x14ac:dyDescent="0.3">
      <c r="A938">
        <v>75215</v>
      </c>
      <c r="B938" s="1" t="s">
        <v>3</v>
      </c>
      <c r="C938" s="2">
        <v>43188</v>
      </c>
    </row>
    <row r="939" spans="1:3" x14ac:dyDescent="0.3">
      <c r="A939">
        <v>11128</v>
      </c>
      <c r="B939" s="1" t="s">
        <v>3</v>
      </c>
      <c r="C939" s="2">
        <v>43160</v>
      </c>
    </row>
    <row r="940" spans="1:3" x14ac:dyDescent="0.3">
      <c r="A940">
        <v>54840</v>
      </c>
      <c r="B940" s="1" t="s">
        <v>4</v>
      </c>
      <c r="C940" s="2">
        <v>43105</v>
      </c>
    </row>
    <row r="941" spans="1:3" x14ac:dyDescent="0.3">
      <c r="A941">
        <v>55882</v>
      </c>
      <c r="B941" s="1" t="s">
        <v>3</v>
      </c>
      <c r="C941" s="2">
        <v>43087</v>
      </c>
    </row>
    <row r="942" spans="1:3" x14ac:dyDescent="0.3">
      <c r="A942">
        <v>22506</v>
      </c>
      <c r="B942" s="1" t="s">
        <v>3</v>
      </c>
      <c r="C942" s="2">
        <v>43165</v>
      </c>
    </row>
    <row r="943" spans="1:3" x14ac:dyDescent="0.3">
      <c r="A943">
        <v>75725</v>
      </c>
      <c r="B943" s="1" t="s">
        <v>4</v>
      </c>
      <c r="C943" s="2">
        <v>43271</v>
      </c>
    </row>
    <row r="944" spans="1:3" x14ac:dyDescent="0.3">
      <c r="A944">
        <v>84222</v>
      </c>
      <c r="B944" s="1" t="s">
        <v>4</v>
      </c>
      <c r="C944" s="2">
        <v>43230</v>
      </c>
    </row>
    <row r="945" spans="1:3" x14ac:dyDescent="0.3">
      <c r="A945">
        <v>83866</v>
      </c>
      <c r="B945" s="1" t="s">
        <v>4</v>
      </c>
      <c r="C945" s="2">
        <v>43144</v>
      </c>
    </row>
    <row r="946" spans="1:3" x14ac:dyDescent="0.3">
      <c r="A946">
        <v>43227</v>
      </c>
      <c r="B946" s="1" t="s">
        <v>3</v>
      </c>
      <c r="C946" s="2">
        <v>43244</v>
      </c>
    </row>
    <row r="947" spans="1:3" x14ac:dyDescent="0.3">
      <c r="A947">
        <v>40124</v>
      </c>
      <c r="B947" s="1" t="s">
        <v>4</v>
      </c>
      <c r="C947" s="2">
        <v>43201</v>
      </c>
    </row>
    <row r="948" spans="1:3" x14ac:dyDescent="0.3">
      <c r="A948">
        <v>7429</v>
      </c>
      <c r="B948" s="1" t="s">
        <v>3</v>
      </c>
      <c r="C948" s="2">
        <v>43164</v>
      </c>
    </row>
    <row r="949" spans="1:3" x14ac:dyDescent="0.3">
      <c r="A949">
        <v>10463</v>
      </c>
      <c r="B949" s="1" t="s">
        <v>3</v>
      </c>
      <c r="C949" s="2">
        <v>43170</v>
      </c>
    </row>
    <row r="950" spans="1:3" x14ac:dyDescent="0.3">
      <c r="A950">
        <v>90792</v>
      </c>
      <c r="B950" s="1" t="s">
        <v>3</v>
      </c>
      <c r="C950" s="2">
        <v>43255</v>
      </c>
    </row>
    <row r="951" spans="1:3" x14ac:dyDescent="0.3">
      <c r="A951">
        <v>55686</v>
      </c>
      <c r="B951" s="1" t="s">
        <v>4</v>
      </c>
      <c r="C951" s="2">
        <v>43265</v>
      </c>
    </row>
    <row r="952" spans="1:3" x14ac:dyDescent="0.3">
      <c r="A952">
        <v>45742</v>
      </c>
      <c r="B952" s="1" t="s">
        <v>4</v>
      </c>
      <c r="C952" s="2">
        <v>43203</v>
      </c>
    </row>
    <row r="953" spans="1:3" x14ac:dyDescent="0.3">
      <c r="A953">
        <v>32210</v>
      </c>
      <c r="B953" s="1" t="s">
        <v>3</v>
      </c>
      <c r="C953" s="2">
        <v>43263</v>
      </c>
    </row>
    <row r="954" spans="1:3" x14ac:dyDescent="0.3">
      <c r="A954">
        <v>63633</v>
      </c>
      <c r="B954" s="1" t="s">
        <v>3</v>
      </c>
      <c r="C954" s="2">
        <v>43093</v>
      </c>
    </row>
    <row r="955" spans="1:3" x14ac:dyDescent="0.3">
      <c r="A955">
        <v>36174</v>
      </c>
      <c r="B955" s="1" t="s">
        <v>3</v>
      </c>
      <c r="C955" s="2">
        <v>43178</v>
      </c>
    </row>
    <row r="956" spans="1:3" x14ac:dyDescent="0.3">
      <c r="A956">
        <v>33309</v>
      </c>
      <c r="B956" s="1" t="s">
        <v>3</v>
      </c>
      <c r="C956" s="2">
        <v>43169</v>
      </c>
    </row>
    <row r="957" spans="1:3" x14ac:dyDescent="0.3">
      <c r="A957">
        <v>11660</v>
      </c>
      <c r="B957" s="1" t="s">
        <v>3</v>
      </c>
      <c r="C957" s="2">
        <v>43160</v>
      </c>
    </row>
    <row r="958" spans="1:3" x14ac:dyDescent="0.3">
      <c r="A958">
        <v>84312</v>
      </c>
      <c r="B958" s="1" t="s">
        <v>4</v>
      </c>
      <c r="C958" s="2">
        <v>43184</v>
      </c>
    </row>
    <row r="959" spans="1:3" x14ac:dyDescent="0.3">
      <c r="A959">
        <v>65897</v>
      </c>
      <c r="B959" s="1" t="s">
        <v>3</v>
      </c>
      <c r="C959" s="2">
        <v>43193</v>
      </c>
    </row>
    <row r="960" spans="1:3" x14ac:dyDescent="0.3">
      <c r="A960">
        <v>83113</v>
      </c>
      <c r="B960" s="1" t="s">
        <v>4</v>
      </c>
      <c r="C960" s="2">
        <v>43177</v>
      </c>
    </row>
    <row r="961" spans="1:3" x14ac:dyDescent="0.3">
      <c r="A961">
        <v>68423</v>
      </c>
      <c r="B961" s="1" t="s">
        <v>4</v>
      </c>
      <c r="C961" s="2">
        <v>43277</v>
      </c>
    </row>
    <row r="962" spans="1:3" x14ac:dyDescent="0.3">
      <c r="A962">
        <v>69450</v>
      </c>
      <c r="B962" s="1" t="s">
        <v>4</v>
      </c>
      <c r="C962" s="2">
        <v>43271</v>
      </c>
    </row>
    <row r="963" spans="1:3" x14ac:dyDescent="0.3">
      <c r="A963">
        <v>66754</v>
      </c>
      <c r="B963" s="1" t="s">
        <v>4</v>
      </c>
      <c r="C963" s="2">
        <v>43107</v>
      </c>
    </row>
    <row r="964" spans="1:3" x14ac:dyDescent="0.3">
      <c r="A964">
        <v>45302</v>
      </c>
      <c r="B964" s="1" t="s">
        <v>3</v>
      </c>
      <c r="C964" s="2">
        <v>43196</v>
      </c>
    </row>
    <row r="965" spans="1:3" x14ac:dyDescent="0.3">
      <c r="A965">
        <v>59245</v>
      </c>
      <c r="B965" s="1" t="s">
        <v>4</v>
      </c>
      <c r="C965" s="2">
        <v>43158</v>
      </c>
    </row>
    <row r="966" spans="1:3" x14ac:dyDescent="0.3">
      <c r="A966">
        <v>74451</v>
      </c>
      <c r="B966" s="1" t="s">
        <v>4</v>
      </c>
      <c r="C966" s="2">
        <v>43248</v>
      </c>
    </row>
    <row r="967" spans="1:3" x14ac:dyDescent="0.3">
      <c r="A967">
        <v>46234</v>
      </c>
      <c r="B967" s="1" t="s">
        <v>4</v>
      </c>
      <c r="C967" s="2">
        <v>43118</v>
      </c>
    </row>
    <row r="968" spans="1:3" x14ac:dyDescent="0.3">
      <c r="A968">
        <v>40862</v>
      </c>
      <c r="B968" s="1" t="s">
        <v>4</v>
      </c>
      <c r="C968" s="2">
        <v>43088</v>
      </c>
    </row>
    <row r="969" spans="1:3" x14ac:dyDescent="0.3">
      <c r="A969">
        <v>72174</v>
      </c>
      <c r="B969" s="1" t="s">
        <v>4</v>
      </c>
      <c r="C969" s="2">
        <v>43101</v>
      </c>
    </row>
    <row r="970" spans="1:3" x14ac:dyDescent="0.3">
      <c r="A970">
        <v>64766</v>
      </c>
      <c r="B970" s="1" t="s">
        <v>3</v>
      </c>
      <c r="C970" s="2">
        <v>43253</v>
      </c>
    </row>
    <row r="971" spans="1:3" x14ac:dyDescent="0.3">
      <c r="A971">
        <v>50163</v>
      </c>
      <c r="B971" s="1" t="s">
        <v>3</v>
      </c>
      <c r="C971" s="2">
        <v>43111</v>
      </c>
    </row>
    <row r="972" spans="1:3" x14ac:dyDescent="0.3">
      <c r="A972">
        <v>86911</v>
      </c>
      <c r="B972" s="1" t="s">
        <v>4</v>
      </c>
      <c r="C972" s="2">
        <v>43234</v>
      </c>
    </row>
    <row r="973" spans="1:3" x14ac:dyDescent="0.3">
      <c r="A973">
        <v>68063</v>
      </c>
      <c r="B973" s="1" t="s">
        <v>4</v>
      </c>
      <c r="C973" s="2">
        <v>43120</v>
      </c>
    </row>
    <row r="974" spans="1:3" x14ac:dyDescent="0.3">
      <c r="A974">
        <v>41375</v>
      </c>
      <c r="B974" s="1" t="s">
        <v>3</v>
      </c>
      <c r="C974" s="2">
        <v>43181</v>
      </c>
    </row>
    <row r="975" spans="1:3" x14ac:dyDescent="0.3">
      <c r="A975">
        <v>88504</v>
      </c>
      <c r="B975" s="1" t="s">
        <v>4</v>
      </c>
      <c r="C975" s="2">
        <v>43215</v>
      </c>
    </row>
    <row r="976" spans="1:3" x14ac:dyDescent="0.3">
      <c r="A976">
        <v>72435</v>
      </c>
      <c r="B976" s="1" t="s">
        <v>4</v>
      </c>
      <c r="C976" s="2">
        <v>43160</v>
      </c>
    </row>
    <row r="977" spans="1:3" x14ac:dyDescent="0.3">
      <c r="A977">
        <v>40919</v>
      </c>
      <c r="B977" s="1" t="s">
        <v>3</v>
      </c>
      <c r="C977" s="2">
        <v>43161</v>
      </c>
    </row>
    <row r="978" spans="1:3" x14ac:dyDescent="0.3">
      <c r="A978">
        <v>98927</v>
      </c>
      <c r="B978" s="1" t="s">
        <v>4</v>
      </c>
      <c r="C978" s="2">
        <v>43097</v>
      </c>
    </row>
    <row r="979" spans="1:3" x14ac:dyDescent="0.3">
      <c r="A979">
        <v>56357</v>
      </c>
      <c r="B979" s="1" t="s">
        <v>3</v>
      </c>
      <c r="C979" s="2">
        <v>43166</v>
      </c>
    </row>
    <row r="980" spans="1:3" x14ac:dyDescent="0.3">
      <c r="A980">
        <v>53963</v>
      </c>
      <c r="B980" s="1" t="s">
        <v>4</v>
      </c>
      <c r="C980" s="2">
        <v>43194</v>
      </c>
    </row>
    <row r="981" spans="1:3" x14ac:dyDescent="0.3">
      <c r="A981">
        <v>44266</v>
      </c>
      <c r="B981" s="1" t="s">
        <v>3</v>
      </c>
      <c r="C981" s="2">
        <v>43146</v>
      </c>
    </row>
    <row r="982" spans="1:3" x14ac:dyDescent="0.3">
      <c r="A982">
        <v>89036</v>
      </c>
      <c r="B982" s="1" t="s">
        <v>4</v>
      </c>
      <c r="C982" s="2">
        <v>43171</v>
      </c>
    </row>
    <row r="983" spans="1:3" x14ac:dyDescent="0.3">
      <c r="A983">
        <v>9858</v>
      </c>
      <c r="B983" s="1" t="s">
        <v>3</v>
      </c>
      <c r="C983" s="2">
        <v>43214</v>
      </c>
    </row>
    <row r="984" spans="1:3" x14ac:dyDescent="0.3">
      <c r="A984">
        <v>99322</v>
      </c>
      <c r="B984" s="1" t="s">
        <v>3</v>
      </c>
      <c r="C984" s="2">
        <v>43252</v>
      </c>
    </row>
    <row r="985" spans="1:3" x14ac:dyDescent="0.3">
      <c r="A985">
        <v>39128</v>
      </c>
      <c r="B985" s="1" t="s">
        <v>4</v>
      </c>
      <c r="C985" s="2">
        <v>43093</v>
      </c>
    </row>
    <row r="986" spans="1:3" x14ac:dyDescent="0.3">
      <c r="A986">
        <v>7713</v>
      </c>
      <c r="B986" s="1" t="s">
        <v>3</v>
      </c>
      <c r="C986" s="2">
        <v>43116</v>
      </c>
    </row>
    <row r="987" spans="1:3" x14ac:dyDescent="0.3">
      <c r="A987">
        <v>54401</v>
      </c>
      <c r="B987" s="1" t="s">
        <v>3</v>
      </c>
      <c r="C987" s="2">
        <v>43119</v>
      </c>
    </row>
    <row r="988" spans="1:3" x14ac:dyDescent="0.3">
      <c r="A988">
        <v>24502</v>
      </c>
      <c r="B988" s="1" t="s">
        <v>3</v>
      </c>
      <c r="C988" s="2">
        <v>43237</v>
      </c>
    </row>
    <row r="989" spans="1:3" x14ac:dyDescent="0.3">
      <c r="A989">
        <v>54052</v>
      </c>
      <c r="B989" s="1" t="s">
        <v>4</v>
      </c>
      <c r="C989" s="2">
        <v>43197</v>
      </c>
    </row>
    <row r="990" spans="1:3" x14ac:dyDescent="0.3">
      <c r="A990">
        <v>85980</v>
      </c>
      <c r="B990" s="1" t="s">
        <v>3</v>
      </c>
      <c r="C990" s="2">
        <v>43245</v>
      </c>
    </row>
    <row r="991" spans="1:3" x14ac:dyDescent="0.3">
      <c r="A991">
        <v>87649</v>
      </c>
      <c r="B991" s="1" t="s">
        <v>4</v>
      </c>
      <c r="C991" s="2">
        <v>43107</v>
      </c>
    </row>
    <row r="992" spans="1:3" x14ac:dyDescent="0.3">
      <c r="A992">
        <v>38705</v>
      </c>
      <c r="B992" s="1" t="s">
        <v>3</v>
      </c>
      <c r="C992" s="2">
        <v>43115</v>
      </c>
    </row>
    <row r="993" spans="1:3" x14ac:dyDescent="0.3">
      <c r="A993">
        <v>44941</v>
      </c>
      <c r="B993" s="1" t="s">
        <v>4</v>
      </c>
      <c r="C993" s="2">
        <v>43120</v>
      </c>
    </row>
    <row r="994" spans="1:3" x14ac:dyDescent="0.3">
      <c r="A994">
        <v>81492</v>
      </c>
      <c r="B994" s="1" t="s">
        <v>4</v>
      </c>
      <c r="C994" s="2">
        <v>43261</v>
      </c>
    </row>
    <row r="995" spans="1:3" x14ac:dyDescent="0.3">
      <c r="A995">
        <v>25377</v>
      </c>
      <c r="B995" s="1" t="s">
        <v>3</v>
      </c>
      <c r="C995" s="2">
        <v>43094</v>
      </c>
    </row>
    <row r="996" spans="1:3" x14ac:dyDescent="0.3">
      <c r="A996">
        <v>89225</v>
      </c>
      <c r="B996" s="1" t="s">
        <v>4</v>
      </c>
      <c r="C996" s="2">
        <v>43244</v>
      </c>
    </row>
    <row r="997" spans="1:3" x14ac:dyDescent="0.3">
      <c r="A997">
        <v>70702</v>
      </c>
      <c r="B997" s="1" t="s">
        <v>4</v>
      </c>
      <c r="C997" s="2">
        <v>43215</v>
      </c>
    </row>
    <row r="998" spans="1:3" x14ac:dyDescent="0.3">
      <c r="A998">
        <v>73978</v>
      </c>
      <c r="B998" s="1" t="s">
        <v>3</v>
      </c>
      <c r="C998" s="2">
        <v>43201</v>
      </c>
    </row>
    <row r="999" spans="1:3" x14ac:dyDescent="0.3">
      <c r="A999">
        <v>36268</v>
      </c>
      <c r="B999" s="1" t="s">
        <v>4</v>
      </c>
      <c r="C999" s="2">
        <v>43086</v>
      </c>
    </row>
    <row r="1000" spans="1:3" x14ac:dyDescent="0.3">
      <c r="A1000">
        <v>86786</v>
      </c>
      <c r="B1000" s="1" t="s">
        <v>4</v>
      </c>
      <c r="C1000" s="2">
        <v>43258</v>
      </c>
    </row>
    <row r="1001" spans="1:3" x14ac:dyDescent="0.3">
      <c r="A1001">
        <v>74377</v>
      </c>
      <c r="B1001" s="1" t="s">
        <v>4</v>
      </c>
      <c r="C1001" s="2">
        <v>43083</v>
      </c>
    </row>
    <row r="1002" spans="1:3" x14ac:dyDescent="0.3">
      <c r="A1002">
        <v>71636</v>
      </c>
      <c r="B1002" s="1" t="s">
        <v>3</v>
      </c>
      <c r="C1002" s="2">
        <v>43090</v>
      </c>
    </row>
    <row r="1003" spans="1:3" x14ac:dyDescent="0.3">
      <c r="A1003">
        <v>63070</v>
      </c>
      <c r="B1003" s="1" t="s">
        <v>3</v>
      </c>
      <c r="C1003" s="2">
        <v>43278</v>
      </c>
    </row>
    <row r="1004" spans="1:3" x14ac:dyDescent="0.3">
      <c r="A1004">
        <v>83968</v>
      </c>
      <c r="B1004" s="1" t="s">
        <v>3</v>
      </c>
      <c r="C1004" s="2">
        <v>43209</v>
      </c>
    </row>
    <row r="1005" spans="1:3" x14ac:dyDescent="0.3">
      <c r="A1005">
        <v>87659</v>
      </c>
      <c r="B1005" s="1" t="s">
        <v>4</v>
      </c>
      <c r="C1005" s="2">
        <v>43157</v>
      </c>
    </row>
    <row r="1006" spans="1:3" x14ac:dyDescent="0.3">
      <c r="A1006">
        <v>99489</v>
      </c>
      <c r="B1006" s="1" t="s">
        <v>4</v>
      </c>
      <c r="C1006" s="2">
        <v>43129</v>
      </c>
    </row>
    <row r="1007" spans="1:3" x14ac:dyDescent="0.3">
      <c r="A1007">
        <v>82601</v>
      </c>
      <c r="B1007" s="1" t="s">
        <v>4</v>
      </c>
      <c r="C1007" s="2">
        <v>43259</v>
      </c>
    </row>
    <row r="1008" spans="1:3" x14ac:dyDescent="0.3">
      <c r="A1008">
        <v>31383</v>
      </c>
      <c r="B1008" s="1" t="s">
        <v>4</v>
      </c>
      <c r="C1008" s="2">
        <v>43158</v>
      </c>
    </row>
    <row r="1009" spans="1:3" x14ac:dyDescent="0.3">
      <c r="A1009">
        <v>55177</v>
      </c>
      <c r="B1009" s="1" t="s">
        <v>3</v>
      </c>
      <c r="C1009" s="2">
        <v>43129</v>
      </c>
    </row>
    <row r="1010" spans="1:3" x14ac:dyDescent="0.3">
      <c r="A1010">
        <v>27529</v>
      </c>
      <c r="B1010" s="1" t="s">
        <v>3</v>
      </c>
      <c r="C1010" s="2">
        <v>43212</v>
      </c>
    </row>
    <row r="1011" spans="1:3" x14ac:dyDescent="0.3">
      <c r="A1011">
        <v>86877</v>
      </c>
      <c r="B1011" s="1" t="s">
        <v>3</v>
      </c>
      <c r="C1011" s="2">
        <v>43177</v>
      </c>
    </row>
    <row r="1012" spans="1:3" x14ac:dyDescent="0.3">
      <c r="A1012">
        <v>41560</v>
      </c>
      <c r="B1012" s="1" t="s">
        <v>4</v>
      </c>
      <c r="C1012" s="2">
        <v>43089</v>
      </c>
    </row>
    <row r="1013" spans="1:3" x14ac:dyDescent="0.3">
      <c r="A1013">
        <v>53930</v>
      </c>
      <c r="B1013" s="1" t="s">
        <v>3</v>
      </c>
      <c r="C1013" s="2">
        <v>43230</v>
      </c>
    </row>
    <row r="1014" spans="1:3" x14ac:dyDescent="0.3">
      <c r="A1014">
        <v>75097</v>
      </c>
      <c r="B1014" s="1" t="s">
        <v>4</v>
      </c>
      <c r="C1014" s="2">
        <v>43208</v>
      </c>
    </row>
    <row r="1015" spans="1:3" x14ac:dyDescent="0.3">
      <c r="A1015">
        <v>92077</v>
      </c>
      <c r="B1015" s="1" t="s">
        <v>4</v>
      </c>
      <c r="C1015" s="2">
        <v>43106</v>
      </c>
    </row>
    <row r="1016" spans="1:3" x14ac:dyDescent="0.3">
      <c r="A1016">
        <v>84065</v>
      </c>
      <c r="B1016" s="1" t="s">
        <v>3</v>
      </c>
      <c r="C1016" s="2">
        <v>43201</v>
      </c>
    </row>
    <row r="1017" spans="1:3" x14ac:dyDescent="0.3">
      <c r="A1017">
        <v>93511</v>
      </c>
      <c r="B1017" s="1" t="s">
        <v>3</v>
      </c>
      <c r="C1017" s="2">
        <v>43204</v>
      </c>
    </row>
    <row r="1018" spans="1:3" x14ac:dyDescent="0.3">
      <c r="A1018">
        <v>80688</v>
      </c>
      <c r="B1018" s="1" t="s">
        <v>4</v>
      </c>
      <c r="C1018" s="2">
        <v>43211</v>
      </c>
    </row>
    <row r="1019" spans="1:3" x14ac:dyDescent="0.3">
      <c r="A1019">
        <v>90885</v>
      </c>
      <c r="B1019" s="1" t="s">
        <v>3</v>
      </c>
      <c r="C1019" s="2">
        <v>43156</v>
      </c>
    </row>
    <row r="1020" spans="1:3" x14ac:dyDescent="0.3">
      <c r="A1020">
        <v>66010</v>
      </c>
      <c r="B1020" s="1" t="s">
        <v>3</v>
      </c>
      <c r="C1020" s="2">
        <v>43183</v>
      </c>
    </row>
    <row r="1021" spans="1:3" x14ac:dyDescent="0.3">
      <c r="A1021">
        <v>33125</v>
      </c>
      <c r="B1021" s="1" t="s">
        <v>4</v>
      </c>
      <c r="C1021" s="2">
        <v>43115</v>
      </c>
    </row>
    <row r="1022" spans="1:3" x14ac:dyDescent="0.3">
      <c r="A1022">
        <v>61033</v>
      </c>
      <c r="B1022" s="1" t="s">
        <v>3</v>
      </c>
      <c r="C1022" s="2">
        <v>43258</v>
      </c>
    </row>
    <row r="1023" spans="1:3" x14ac:dyDescent="0.3">
      <c r="A1023">
        <v>86918</v>
      </c>
      <c r="B1023" s="1" t="s">
        <v>4</v>
      </c>
      <c r="C1023" s="2">
        <v>43140</v>
      </c>
    </row>
    <row r="1024" spans="1:3" x14ac:dyDescent="0.3">
      <c r="A1024">
        <v>34095</v>
      </c>
      <c r="B1024" s="1" t="s">
        <v>3</v>
      </c>
      <c r="C1024" s="2">
        <v>43166</v>
      </c>
    </row>
    <row r="1025" spans="1:3" x14ac:dyDescent="0.3">
      <c r="A1025">
        <v>56036</v>
      </c>
      <c r="B1025" s="1" t="s">
        <v>4</v>
      </c>
      <c r="C1025" s="2">
        <v>43111</v>
      </c>
    </row>
    <row r="1026" spans="1:3" x14ac:dyDescent="0.3">
      <c r="A1026">
        <v>67490</v>
      </c>
      <c r="B1026" s="1" t="s">
        <v>4</v>
      </c>
      <c r="C1026" s="2">
        <v>43213</v>
      </c>
    </row>
    <row r="1027" spans="1:3" x14ac:dyDescent="0.3">
      <c r="A1027">
        <v>71580</v>
      </c>
      <c r="B1027" s="1" t="s">
        <v>3</v>
      </c>
      <c r="C1027" s="2">
        <v>43143</v>
      </c>
    </row>
    <row r="1028" spans="1:3" x14ac:dyDescent="0.3">
      <c r="A1028">
        <v>76854</v>
      </c>
      <c r="B1028" s="1" t="s">
        <v>3</v>
      </c>
      <c r="C1028" s="2">
        <v>43228</v>
      </c>
    </row>
    <row r="1029" spans="1:3" x14ac:dyDescent="0.3">
      <c r="A1029">
        <v>92104</v>
      </c>
      <c r="B1029" s="1" t="s">
        <v>4</v>
      </c>
      <c r="C1029" s="2">
        <v>43228</v>
      </c>
    </row>
    <row r="1030" spans="1:3" x14ac:dyDescent="0.3">
      <c r="A1030">
        <v>10956</v>
      </c>
      <c r="B1030" s="1" t="s">
        <v>3</v>
      </c>
      <c r="C1030" s="2">
        <v>43124</v>
      </c>
    </row>
    <row r="1031" spans="1:3" x14ac:dyDescent="0.3">
      <c r="A1031">
        <v>74865</v>
      </c>
      <c r="B1031" s="1" t="s">
        <v>3</v>
      </c>
      <c r="C1031" s="2">
        <v>43130</v>
      </c>
    </row>
    <row r="1032" spans="1:3" x14ac:dyDescent="0.3">
      <c r="A1032">
        <v>34182</v>
      </c>
      <c r="B1032" s="1" t="s">
        <v>3</v>
      </c>
      <c r="C1032" s="2">
        <v>43177</v>
      </c>
    </row>
    <row r="1033" spans="1:3" x14ac:dyDescent="0.3">
      <c r="A1033">
        <v>71126</v>
      </c>
      <c r="B1033" s="1" t="s">
        <v>3</v>
      </c>
      <c r="C1033" s="2">
        <v>43093</v>
      </c>
    </row>
    <row r="1034" spans="1:3" x14ac:dyDescent="0.3">
      <c r="A1034">
        <v>25025</v>
      </c>
      <c r="B1034" s="1" t="s">
        <v>3</v>
      </c>
      <c r="C1034" s="2">
        <v>43229</v>
      </c>
    </row>
    <row r="1035" spans="1:3" x14ac:dyDescent="0.3">
      <c r="A1035">
        <v>88199</v>
      </c>
      <c r="B1035" s="1" t="s">
        <v>4</v>
      </c>
      <c r="C1035" s="2">
        <v>43278</v>
      </c>
    </row>
    <row r="1036" spans="1:3" x14ac:dyDescent="0.3">
      <c r="A1036">
        <v>72896</v>
      </c>
      <c r="B1036" s="1" t="s">
        <v>4</v>
      </c>
      <c r="C1036" s="2">
        <v>43112</v>
      </c>
    </row>
    <row r="1037" spans="1:3" x14ac:dyDescent="0.3">
      <c r="A1037">
        <v>83317</v>
      </c>
      <c r="B1037" s="1" t="s">
        <v>3</v>
      </c>
      <c r="C1037" s="2">
        <v>43150</v>
      </c>
    </row>
    <row r="1038" spans="1:3" x14ac:dyDescent="0.3">
      <c r="A1038">
        <v>75120</v>
      </c>
      <c r="B1038" s="1" t="s">
        <v>3</v>
      </c>
      <c r="C1038" s="2">
        <v>43148</v>
      </c>
    </row>
    <row r="1039" spans="1:3" x14ac:dyDescent="0.3">
      <c r="A1039">
        <v>32258</v>
      </c>
      <c r="B1039" s="1" t="s">
        <v>3</v>
      </c>
      <c r="C1039" s="2">
        <v>43157</v>
      </c>
    </row>
    <row r="1040" spans="1:3" x14ac:dyDescent="0.3">
      <c r="A1040">
        <v>38180</v>
      </c>
      <c r="B1040" s="1" t="s">
        <v>3</v>
      </c>
      <c r="C1040" s="2">
        <v>43244</v>
      </c>
    </row>
    <row r="1041" spans="1:3" x14ac:dyDescent="0.3">
      <c r="A1041">
        <v>57172</v>
      </c>
      <c r="B1041" s="1" t="s">
        <v>3</v>
      </c>
      <c r="C1041" s="2">
        <v>43205</v>
      </c>
    </row>
    <row r="1042" spans="1:3" x14ac:dyDescent="0.3">
      <c r="A1042">
        <v>92793</v>
      </c>
      <c r="B1042" s="1" t="s">
        <v>4</v>
      </c>
      <c r="C1042" s="2">
        <v>43082</v>
      </c>
    </row>
    <row r="1043" spans="1:3" x14ac:dyDescent="0.3">
      <c r="A1043">
        <v>76689</v>
      </c>
      <c r="B1043" s="1" t="s">
        <v>3</v>
      </c>
      <c r="C1043" s="2">
        <v>43158</v>
      </c>
    </row>
    <row r="1044" spans="1:3" x14ac:dyDescent="0.3">
      <c r="A1044">
        <v>78221</v>
      </c>
      <c r="B1044" s="1" t="s">
        <v>4</v>
      </c>
      <c r="C1044" s="2">
        <v>43233</v>
      </c>
    </row>
    <row r="1045" spans="1:3" x14ac:dyDescent="0.3">
      <c r="A1045">
        <v>45356</v>
      </c>
      <c r="B1045" s="1" t="s">
        <v>4</v>
      </c>
      <c r="C1045" s="2">
        <v>43108</v>
      </c>
    </row>
    <row r="1046" spans="1:3" x14ac:dyDescent="0.3">
      <c r="A1046">
        <v>83363</v>
      </c>
      <c r="B1046" s="1" t="s">
        <v>3</v>
      </c>
      <c r="C1046" s="2">
        <v>43188</v>
      </c>
    </row>
    <row r="1047" spans="1:3" x14ac:dyDescent="0.3">
      <c r="A1047">
        <v>34651</v>
      </c>
      <c r="B1047" s="1" t="s">
        <v>4</v>
      </c>
      <c r="C1047" s="2">
        <v>43167</v>
      </c>
    </row>
    <row r="1048" spans="1:3" x14ac:dyDescent="0.3">
      <c r="A1048">
        <v>72266</v>
      </c>
      <c r="B1048" s="1" t="s">
        <v>4</v>
      </c>
      <c r="C1048" s="2">
        <v>43204</v>
      </c>
    </row>
    <row r="1049" spans="1:3" x14ac:dyDescent="0.3">
      <c r="A1049">
        <v>87018</v>
      </c>
      <c r="B1049" s="1" t="s">
        <v>3</v>
      </c>
      <c r="C1049" s="2">
        <v>43111</v>
      </c>
    </row>
    <row r="1050" spans="1:3" x14ac:dyDescent="0.3">
      <c r="A1050">
        <v>74500</v>
      </c>
      <c r="B1050" s="1" t="s">
        <v>4</v>
      </c>
      <c r="C1050" s="2">
        <v>43146</v>
      </c>
    </row>
    <row r="1051" spans="1:3" x14ac:dyDescent="0.3">
      <c r="A1051">
        <v>49264</v>
      </c>
      <c r="B1051" s="1" t="s">
        <v>4</v>
      </c>
      <c r="C1051" s="2">
        <v>43259</v>
      </c>
    </row>
    <row r="1052" spans="1:3" x14ac:dyDescent="0.3">
      <c r="A1052">
        <v>99211</v>
      </c>
      <c r="B1052" s="1" t="s">
        <v>4</v>
      </c>
      <c r="C1052" s="2">
        <v>43091</v>
      </c>
    </row>
    <row r="1053" spans="1:3" x14ac:dyDescent="0.3">
      <c r="A1053">
        <v>57430</v>
      </c>
      <c r="B1053" s="1" t="s">
        <v>3</v>
      </c>
      <c r="C1053" s="2">
        <v>43235</v>
      </c>
    </row>
    <row r="1054" spans="1:3" x14ac:dyDescent="0.3">
      <c r="A1054">
        <v>93697</v>
      </c>
      <c r="B1054" s="1" t="s">
        <v>4</v>
      </c>
      <c r="C1054" s="2">
        <v>43141</v>
      </c>
    </row>
    <row r="1055" spans="1:3" x14ac:dyDescent="0.3">
      <c r="A1055">
        <v>78668</v>
      </c>
      <c r="B1055" s="1" t="s">
        <v>4</v>
      </c>
      <c r="C1055" s="2">
        <v>43165</v>
      </c>
    </row>
    <row r="1056" spans="1:3" x14ac:dyDescent="0.3">
      <c r="A1056">
        <v>91833</v>
      </c>
      <c r="B1056" s="1" t="s">
        <v>4</v>
      </c>
      <c r="C1056" s="2">
        <v>43173</v>
      </c>
    </row>
    <row r="1057" spans="1:3" x14ac:dyDescent="0.3">
      <c r="A1057">
        <v>90228</v>
      </c>
      <c r="B1057" s="1" t="s">
        <v>4</v>
      </c>
      <c r="C1057" s="2">
        <v>43236</v>
      </c>
    </row>
    <row r="1058" spans="1:3" x14ac:dyDescent="0.3">
      <c r="A1058">
        <v>44381</v>
      </c>
      <c r="B1058" s="1" t="s">
        <v>3</v>
      </c>
      <c r="C1058" s="2">
        <v>43154</v>
      </c>
    </row>
    <row r="1059" spans="1:3" x14ac:dyDescent="0.3">
      <c r="A1059">
        <v>61677</v>
      </c>
      <c r="B1059" s="1" t="s">
        <v>4</v>
      </c>
      <c r="C1059" s="2">
        <v>43221</v>
      </c>
    </row>
    <row r="1060" spans="1:3" x14ac:dyDescent="0.3">
      <c r="A1060">
        <v>31283</v>
      </c>
      <c r="B1060" s="1" t="s">
        <v>4</v>
      </c>
      <c r="C1060" s="2">
        <v>43131</v>
      </c>
    </row>
    <row r="1061" spans="1:3" x14ac:dyDescent="0.3">
      <c r="A1061">
        <v>62107</v>
      </c>
      <c r="B1061" s="1" t="s">
        <v>3</v>
      </c>
      <c r="C1061" s="2">
        <v>43173</v>
      </c>
    </row>
    <row r="1062" spans="1:3" x14ac:dyDescent="0.3">
      <c r="A1062">
        <v>61766</v>
      </c>
      <c r="B1062" s="1" t="s">
        <v>4</v>
      </c>
      <c r="C1062" s="2">
        <v>43084</v>
      </c>
    </row>
    <row r="1063" spans="1:3" x14ac:dyDescent="0.3">
      <c r="A1063">
        <v>9116</v>
      </c>
      <c r="B1063" s="1" t="s">
        <v>3</v>
      </c>
      <c r="C1063" s="2">
        <v>43231</v>
      </c>
    </row>
    <row r="1064" spans="1:3" x14ac:dyDescent="0.3">
      <c r="A1064">
        <v>89963</v>
      </c>
      <c r="B1064" s="1" t="s">
        <v>4</v>
      </c>
      <c r="C1064" s="2">
        <v>43271</v>
      </c>
    </row>
    <row r="1065" spans="1:3" x14ac:dyDescent="0.3">
      <c r="A1065">
        <v>66314</v>
      </c>
      <c r="B1065" s="1" t="s">
        <v>3</v>
      </c>
      <c r="C1065" s="2">
        <v>43273</v>
      </c>
    </row>
    <row r="1066" spans="1:3" x14ac:dyDescent="0.3">
      <c r="A1066">
        <v>44769</v>
      </c>
      <c r="B1066" s="1" t="s">
        <v>3</v>
      </c>
      <c r="C1066" s="2">
        <v>43088</v>
      </c>
    </row>
    <row r="1067" spans="1:3" x14ac:dyDescent="0.3">
      <c r="A1067">
        <v>71611</v>
      </c>
      <c r="B1067" s="1" t="s">
        <v>3</v>
      </c>
      <c r="C1067" s="2">
        <v>43101</v>
      </c>
    </row>
    <row r="1068" spans="1:3" x14ac:dyDescent="0.3">
      <c r="A1068">
        <v>45537</v>
      </c>
      <c r="B1068" s="1" t="s">
        <v>4</v>
      </c>
      <c r="C1068" s="2">
        <v>43174</v>
      </c>
    </row>
    <row r="1069" spans="1:3" x14ac:dyDescent="0.3">
      <c r="A1069">
        <v>29365</v>
      </c>
      <c r="B1069" s="1" t="s">
        <v>3</v>
      </c>
      <c r="C1069" s="2">
        <v>43116</v>
      </c>
    </row>
    <row r="1070" spans="1:3" x14ac:dyDescent="0.3">
      <c r="A1070">
        <v>70620</v>
      </c>
      <c r="B1070" s="1" t="s">
        <v>4</v>
      </c>
      <c r="C1070" s="2">
        <v>43170</v>
      </c>
    </row>
    <row r="1071" spans="1:3" x14ac:dyDescent="0.3">
      <c r="A1071">
        <v>54085</v>
      </c>
      <c r="B1071" s="1" t="s">
        <v>4</v>
      </c>
      <c r="C1071" s="2">
        <v>43269</v>
      </c>
    </row>
    <row r="1072" spans="1:3" x14ac:dyDescent="0.3">
      <c r="A1072">
        <v>97658</v>
      </c>
      <c r="B1072" s="1" t="s">
        <v>4</v>
      </c>
      <c r="C1072" s="2">
        <v>43192</v>
      </c>
    </row>
    <row r="1073" spans="1:3" x14ac:dyDescent="0.3">
      <c r="A1073">
        <v>44154</v>
      </c>
      <c r="B1073" s="1" t="s">
        <v>4</v>
      </c>
      <c r="C1073" s="2">
        <v>43264</v>
      </c>
    </row>
    <row r="1074" spans="1:3" x14ac:dyDescent="0.3">
      <c r="A1074">
        <v>78346</v>
      </c>
      <c r="B1074" s="1" t="s">
        <v>3</v>
      </c>
      <c r="C1074" s="2">
        <v>43232</v>
      </c>
    </row>
    <row r="1075" spans="1:3" x14ac:dyDescent="0.3">
      <c r="A1075">
        <v>18232</v>
      </c>
      <c r="B1075" s="1" t="s">
        <v>3</v>
      </c>
      <c r="C1075" s="2">
        <v>43092</v>
      </c>
    </row>
    <row r="1076" spans="1:3" x14ac:dyDescent="0.3">
      <c r="A1076">
        <v>38299</v>
      </c>
      <c r="B1076" s="1" t="s">
        <v>4</v>
      </c>
      <c r="C1076" s="2">
        <v>43268</v>
      </c>
    </row>
    <row r="1077" spans="1:3" x14ac:dyDescent="0.3">
      <c r="A1077">
        <v>52186</v>
      </c>
      <c r="B1077" s="1" t="s">
        <v>4</v>
      </c>
      <c r="C1077" s="2">
        <v>43164</v>
      </c>
    </row>
    <row r="1078" spans="1:3" x14ac:dyDescent="0.3">
      <c r="A1078">
        <v>95569</v>
      </c>
      <c r="B1078" s="1" t="s">
        <v>3</v>
      </c>
      <c r="C1078" s="2">
        <v>43222</v>
      </c>
    </row>
    <row r="1079" spans="1:3" x14ac:dyDescent="0.3">
      <c r="A1079">
        <v>80675</v>
      </c>
      <c r="B1079" s="1" t="s">
        <v>4</v>
      </c>
      <c r="C1079" s="2">
        <v>43100</v>
      </c>
    </row>
    <row r="1080" spans="1:3" x14ac:dyDescent="0.3">
      <c r="A1080">
        <v>65029</v>
      </c>
      <c r="B1080" s="1" t="s">
        <v>4</v>
      </c>
      <c r="C1080" s="2">
        <v>43221</v>
      </c>
    </row>
    <row r="1081" spans="1:3" x14ac:dyDescent="0.3">
      <c r="A1081">
        <v>75145</v>
      </c>
      <c r="B1081" s="1" t="s">
        <v>3</v>
      </c>
      <c r="C1081" s="2">
        <v>43210</v>
      </c>
    </row>
    <row r="1082" spans="1:3" x14ac:dyDescent="0.3">
      <c r="A1082">
        <v>14064</v>
      </c>
      <c r="B1082" s="1" t="s">
        <v>3</v>
      </c>
      <c r="C1082" s="2">
        <v>43166</v>
      </c>
    </row>
    <row r="1083" spans="1:3" x14ac:dyDescent="0.3">
      <c r="A1083">
        <v>73221</v>
      </c>
      <c r="B1083" s="1" t="s">
        <v>3</v>
      </c>
      <c r="C1083" s="2">
        <v>43254</v>
      </c>
    </row>
    <row r="1084" spans="1:3" x14ac:dyDescent="0.3">
      <c r="A1084">
        <v>34870</v>
      </c>
      <c r="B1084" s="1" t="s">
        <v>4</v>
      </c>
      <c r="C1084" s="2">
        <v>43147</v>
      </c>
    </row>
    <row r="1085" spans="1:3" x14ac:dyDescent="0.3">
      <c r="A1085">
        <v>35945</v>
      </c>
      <c r="B1085" s="1" t="s">
        <v>3</v>
      </c>
      <c r="C1085" s="2">
        <v>43262</v>
      </c>
    </row>
    <row r="1086" spans="1:3" x14ac:dyDescent="0.3">
      <c r="A1086">
        <v>85510</v>
      </c>
      <c r="B1086" s="1" t="s">
        <v>3</v>
      </c>
      <c r="C1086" s="2">
        <v>43213</v>
      </c>
    </row>
    <row r="1087" spans="1:3" x14ac:dyDescent="0.3">
      <c r="A1087">
        <v>98365</v>
      </c>
      <c r="B1087" s="1" t="s">
        <v>4</v>
      </c>
      <c r="C1087" s="2">
        <v>43177</v>
      </c>
    </row>
    <row r="1088" spans="1:3" x14ac:dyDescent="0.3">
      <c r="A1088">
        <v>72910</v>
      </c>
      <c r="B1088" s="1" t="s">
        <v>3</v>
      </c>
      <c r="C1088" s="2">
        <v>43111</v>
      </c>
    </row>
    <row r="1089" spans="1:3" x14ac:dyDescent="0.3">
      <c r="A1089">
        <v>71018</v>
      </c>
      <c r="B1089" s="1" t="s">
        <v>4</v>
      </c>
      <c r="C1089" s="2">
        <v>43151</v>
      </c>
    </row>
    <row r="1090" spans="1:3" x14ac:dyDescent="0.3">
      <c r="A1090">
        <v>16302</v>
      </c>
      <c r="B1090" s="1" t="s">
        <v>3</v>
      </c>
      <c r="C1090" s="2">
        <v>43229</v>
      </c>
    </row>
    <row r="1091" spans="1:3" x14ac:dyDescent="0.3">
      <c r="A1091">
        <v>86658</v>
      </c>
      <c r="B1091" s="1" t="s">
        <v>4</v>
      </c>
      <c r="C1091" s="2">
        <v>43237</v>
      </c>
    </row>
    <row r="1092" spans="1:3" x14ac:dyDescent="0.3">
      <c r="A1092">
        <v>83166</v>
      </c>
      <c r="B1092" s="1" t="s">
        <v>3</v>
      </c>
      <c r="C1092" s="2">
        <v>43187</v>
      </c>
    </row>
    <row r="1093" spans="1:3" x14ac:dyDescent="0.3">
      <c r="A1093">
        <v>21810</v>
      </c>
      <c r="B1093" s="1" t="s">
        <v>3</v>
      </c>
      <c r="C1093" s="2">
        <v>43181</v>
      </c>
    </row>
    <row r="1094" spans="1:3" x14ac:dyDescent="0.3">
      <c r="A1094">
        <v>73229</v>
      </c>
      <c r="B1094" s="1" t="s">
        <v>4</v>
      </c>
      <c r="C1094" s="2">
        <v>43134</v>
      </c>
    </row>
    <row r="1095" spans="1:3" x14ac:dyDescent="0.3">
      <c r="A1095">
        <v>61834</v>
      </c>
      <c r="B1095" s="1" t="s">
        <v>4</v>
      </c>
      <c r="C1095" s="2">
        <v>43091</v>
      </c>
    </row>
    <row r="1096" spans="1:3" x14ac:dyDescent="0.3">
      <c r="A1096">
        <v>34207</v>
      </c>
      <c r="B1096" s="1" t="s">
        <v>4</v>
      </c>
      <c r="C1096" s="2">
        <v>43084</v>
      </c>
    </row>
    <row r="1097" spans="1:3" x14ac:dyDescent="0.3">
      <c r="A1097">
        <v>91858</v>
      </c>
      <c r="B1097" s="1" t="s">
        <v>4</v>
      </c>
      <c r="C1097" s="2">
        <v>43119</v>
      </c>
    </row>
    <row r="1098" spans="1:3" x14ac:dyDescent="0.3">
      <c r="A1098">
        <v>92150</v>
      </c>
      <c r="B1098" s="1" t="s">
        <v>4</v>
      </c>
      <c r="C1098" s="2">
        <v>43082</v>
      </c>
    </row>
    <row r="1099" spans="1:3" x14ac:dyDescent="0.3">
      <c r="A1099">
        <v>74631</v>
      </c>
      <c r="B1099" s="1" t="s">
        <v>3</v>
      </c>
      <c r="C1099" s="2">
        <v>43108</v>
      </c>
    </row>
    <row r="1100" spans="1:3" x14ac:dyDescent="0.3">
      <c r="A1100">
        <v>24416</v>
      </c>
      <c r="B1100" s="1" t="s">
        <v>3</v>
      </c>
      <c r="C1100" s="2">
        <v>43181</v>
      </c>
    </row>
    <row r="1101" spans="1:3" x14ac:dyDescent="0.3">
      <c r="A1101">
        <v>96843</v>
      </c>
      <c r="B1101" s="1" t="s">
        <v>3</v>
      </c>
      <c r="C1101" s="2">
        <v>43212</v>
      </c>
    </row>
    <row r="1102" spans="1:3" x14ac:dyDescent="0.3">
      <c r="A1102">
        <v>56812</v>
      </c>
      <c r="B1102" s="1" t="s">
        <v>3</v>
      </c>
      <c r="C1102" s="2">
        <v>43124</v>
      </c>
    </row>
    <row r="1103" spans="1:3" x14ac:dyDescent="0.3">
      <c r="A1103">
        <v>52246</v>
      </c>
      <c r="B1103" s="1" t="s">
        <v>3</v>
      </c>
      <c r="C1103" s="2">
        <v>43273</v>
      </c>
    </row>
    <row r="1104" spans="1:3" x14ac:dyDescent="0.3">
      <c r="A1104">
        <v>81365</v>
      </c>
      <c r="B1104" s="1" t="s">
        <v>3</v>
      </c>
      <c r="C1104" s="2">
        <v>43206</v>
      </c>
    </row>
    <row r="1105" spans="1:3" x14ac:dyDescent="0.3">
      <c r="A1105">
        <v>93487</v>
      </c>
      <c r="B1105" s="1" t="s">
        <v>3</v>
      </c>
      <c r="C1105" s="2">
        <v>43258</v>
      </c>
    </row>
    <row r="1106" spans="1:3" x14ac:dyDescent="0.3">
      <c r="A1106">
        <v>58256</v>
      </c>
      <c r="B1106" s="1" t="s">
        <v>4</v>
      </c>
      <c r="C1106" s="2">
        <v>43134</v>
      </c>
    </row>
    <row r="1107" spans="1:3" x14ac:dyDescent="0.3">
      <c r="A1107">
        <v>98643</v>
      </c>
      <c r="B1107" s="1" t="s">
        <v>3</v>
      </c>
      <c r="C1107" s="2">
        <v>43251</v>
      </c>
    </row>
    <row r="1108" spans="1:3" x14ac:dyDescent="0.3">
      <c r="A1108">
        <v>91673</v>
      </c>
      <c r="B1108" s="1" t="s">
        <v>3</v>
      </c>
      <c r="C1108" s="2">
        <v>43233</v>
      </c>
    </row>
    <row r="1109" spans="1:3" x14ac:dyDescent="0.3">
      <c r="A1109">
        <v>60298</v>
      </c>
      <c r="B1109" s="1" t="s">
        <v>3</v>
      </c>
      <c r="C1109" s="2">
        <v>43131</v>
      </c>
    </row>
    <row r="1110" spans="1:3" x14ac:dyDescent="0.3">
      <c r="A1110">
        <v>84244</v>
      </c>
      <c r="B1110" s="1" t="s">
        <v>4</v>
      </c>
      <c r="C1110" s="2">
        <v>43132</v>
      </c>
    </row>
    <row r="1111" spans="1:3" x14ac:dyDescent="0.3">
      <c r="A1111">
        <v>95111</v>
      </c>
      <c r="B1111" s="1" t="s">
        <v>4</v>
      </c>
      <c r="C1111" s="2">
        <v>43111</v>
      </c>
    </row>
    <row r="1112" spans="1:3" x14ac:dyDescent="0.3">
      <c r="A1112">
        <v>76556</v>
      </c>
      <c r="B1112" s="1" t="s">
        <v>4</v>
      </c>
      <c r="C1112" s="2">
        <v>43090</v>
      </c>
    </row>
    <row r="1113" spans="1:3" x14ac:dyDescent="0.3">
      <c r="A1113">
        <v>57371</v>
      </c>
      <c r="B1113" s="1" t="s">
        <v>3</v>
      </c>
      <c r="C1113" s="2">
        <v>43200</v>
      </c>
    </row>
    <row r="1114" spans="1:3" x14ac:dyDescent="0.3">
      <c r="A1114">
        <v>38843</v>
      </c>
      <c r="B1114" s="1" t="s">
        <v>3</v>
      </c>
      <c r="C1114" s="2">
        <v>43183</v>
      </c>
    </row>
    <row r="1115" spans="1:3" x14ac:dyDescent="0.3">
      <c r="A1115">
        <v>9620</v>
      </c>
      <c r="B1115" s="1" t="s">
        <v>3</v>
      </c>
      <c r="C1115" s="2">
        <v>43159</v>
      </c>
    </row>
    <row r="1116" spans="1:3" x14ac:dyDescent="0.3">
      <c r="A1116">
        <v>36813</v>
      </c>
      <c r="B1116" s="1" t="s">
        <v>4</v>
      </c>
      <c r="C1116" s="2">
        <v>43090</v>
      </c>
    </row>
    <row r="1117" spans="1:3" x14ac:dyDescent="0.3">
      <c r="A1117">
        <v>41163</v>
      </c>
      <c r="B1117" s="1" t="s">
        <v>3</v>
      </c>
      <c r="C1117" s="2">
        <v>43145</v>
      </c>
    </row>
    <row r="1118" spans="1:3" x14ac:dyDescent="0.3">
      <c r="A1118">
        <v>31034</v>
      </c>
      <c r="B1118" s="1" t="s">
        <v>4</v>
      </c>
      <c r="C1118" s="2">
        <v>43204</v>
      </c>
    </row>
    <row r="1119" spans="1:3" x14ac:dyDescent="0.3">
      <c r="A1119">
        <v>69118</v>
      </c>
      <c r="B1119" s="1" t="s">
        <v>3</v>
      </c>
      <c r="C1119" s="2">
        <v>43259</v>
      </c>
    </row>
    <row r="1120" spans="1:3" x14ac:dyDescent="0.3">
      <c r="A1120">
        <v>57674</v>
      </c>
      <c r="B1120" s="1" t="s">
        <v>3</v>
      </c>
      <c r="C1120" s="2">
        <v>43096</v>
      </c>
    </row>
    <row r="1121" spans="1:3" x14ac:dyDescent="0.3">
      <c r="A1121">
        <v>46373</v>
      </c>
      <c r="B1121" s="1" t="s">
        <v>3</v>
      </c>
      <c r="C1121" s="2">
        <v>43096</v>
      </c>
    </row>
    <row r="1122" spans="1:3" x14ac:dyDescent="0.3">
      <c r="A1122">
        <v>96985</v>
      </c>
      <c r="B1122" s="1" t="s">
        <v>4</v>
      </c>
      <c r="C1122" s="2">
        <v>43243</v>
      </c>
    </row>
    <row r="1123" spans="1:3" x14ac:dyDescent="0.3">
      <c r="A1123">
        <v>99304</v>
      </c>
      <c r="B1123" s="1" t="s">
        <v>4</v>
      </c>
      <c r="C1123" s="2">
        <v>43100</v>
      </c>
    </row>
    <row r="1124" spans="1:3" x14ac:dyDescent="0.3">
      <c r="A1124">
        <v>97781</v>
      </c>
      <c r="B1124" s="1" t="s">
        <v>4</v>
      </c>
      <c r="C1124" s="2">
        <v>43107</v>
      </c>
    </row>
    <row r="1125" spans="1:3" x14ac:dyDescent="0.3">
      <c r="A1125">
        <v>67900</v>
      </c>
      <c r="B1125" s="1" t="s">
        <v>3</v>
      </c>
      <c r="C1125" s="2">
        <v>43195</v>
      </c>
    </row>
    <row r="1126" spans="1:3" x14ac:dyDescent="0.3">
      <c r="A1126">
        <v>63237</v>
      </c>
      <c r="B1126" s="1" t="s">
        <v>4</v>
      </c>
      <c r="C1126" s="2">
        <v>43191</v>
      </c>
    </row>
    <row r="1127" spans="1:3" x14ac:dyDescent="0.3">
      <c r="A1127">
        <v>50680</v>
      </c>
      <c r="B1127" s="1" t="s">
        <v>3</v>
      </c>
      <c r="C1127" s="2">
        <v>43167</v>
      </c>
    </row>
    <row r="1128" spans="1:3" x14ac:dyDescent="0.3">
      <c r="A1128">
        <v>45017</v>
      </c>
      <c r="B1128" s="1" t="s">
        <v>3</v>
      </c>
      <c r="C1128" s="2">
        <v>43192</v>
      </c>
    </row>
    <row r="1129" spans="1:3" x14ac:dyDescent="0.3">
      <c r="A1129">
        <v>20890</v>
      </c>
      <c r="B1129" s="1" t="s">
        <v>3</v>
      </c>
      <c r="C1129" s="2">
        <v>43229</v>
      </c>
    </row>
    <row r="1130" spans="1:3" x14ac:dyDescent="0.3">
      <c r="A1130">
        <v>8698</v>
      </c>
      <c r="B1130" s="1" t="s">
        <v>3</v>
      </c>
      <c r="C1130" s="2">
        <v>43240</v>
      </c>
    </row>
    <row r="1131" spans="1:3" x14ac:dyDescent="0.3">
      <c r="A1131">
        <v>39856</v>
      </c>
      <c r="B1131" s="1" t="s">
        <v>3</v>
      </c>
      <c r="C1131" s="2">
        <v>43192</v>
      </c>
    </row>
    <row r="1132" spans="1:3" x14ac:dyDescent="0.3">
      <c r="A1132">
        <v>54287</v>
      </c>
      <c r="B1132" s="1" t="s">
        <v>3</v>
      </c>
      <c r="C1132" s="2">
        <v>43149</v>
      </c>
    </row>
    <row r="1133" spans="1:3" x14ac:dyDescent="0.3">
      <c r="A1133">
        <v>42728</v>
      </c>
      <c r="B1133" s="1" t="s">
        <v>4</v>
      </c>
      <c r="C1133" s="2">
        <v>43275</v>
      </c>
    </row>
    <row r="1134" spans="1:3" x14ac:dyDescent="0.3">
      <c r="A1134">
        <v>42825</v>
      </c>
      <c r="B1134" s="1" t="s">
        <v>3</v>
      </c>
      <c r="C1134" s="2">
        <v>43152</v>
      </c>
    </row>
    <row r="1135" spans="1:3" x14ac:dyDescent="0.3">
      <c r="A1135">
        <v>27734</v>
      </c>
      <c r="B1135" s="1" t="s">
        <v>3</v>
      </c>
      <c r="C1135" s="2">
        <v>43120</v>
      </c>
    </row>
    <row r="1136" spans="1:3" x14ac:dyDescent="0.3">
      <c r="A1136">
        <v>61484</v>
      </c>
      <c r="B1136" s="1" t="s">
        <v>3</v>
      </c>
      <c r="C1136" s="2">
        <v>43100</v>
      </c>
    </row>
    <row r="1137" spans="1:3" x14ac:dyDescent="0.3">
      <c r="A1137">
        <v>18266</v>
      </c>
      <c r="B1137" s="1" t="s">
        <v>3</v>
      </c>
      <c r="C1137" s="2">
        <v>43255</v>
      </c>
    </row>
    <row r="1138" spans="1:3" x14ac:dyDescent="0.3">
      <c r="A1138">
        <v>56482</v>
      </c>
      <c r="B1138" s="1" t="s">
        <v>4</v>
      </c>
      <c r="C1138" s="2">
        <v>43093</v>
      </c>
    </row>
    <row r="1139" spans="1:3" x14ac:dyDescent="0.3">
      <c r="A1139">
        <v>65492</v>
      </c>
      <c r="B1139" s="1" t="s">
        <v>3</v>
      </c>
      <c r="C1139" s="2">
        <v>43192</v>
      </c>
    </row>
    <row r="1140" spans="1:3" x14ac:dyDescent="0.3">
      <c r="A1140">
        <v>38903</v>
      </c>
      <c r="B1140" s="1" t="s">
        <v>4</v>
      </c>
      <c r="C1140" s="2">
        <v>43128</v>
      </c>
    </row>
    <row r="1141" spans="1:3" x14ac:dyDescent="0.3">
      <c r="A1141">
        <v>19273</v>
      </c>
      <c r="B1141" s="1" t="s">
        <v>3</v>
      </c>
      <c r="C1141" s="2">
        <v>43238</v>
      </c>
    </row>
    <row r="1142" spans="1:3" x14ac:dyDescent="0.3">
      <c r="A1142">
        <v>71963</v>
      </c>
      <c r="B1142" s="1" t="s">
        <v>4</v>
      </c>
      <c r="C1142" s="2">
        <v>43281</v>
      </c>
    </row>
    <row r="1143" spans="1:3" x14ac:dyDescent="0.3">
      <c r="A1143">
        <v>50154</v>
      </c>
      <c r="B1143" s="1" t="s">
        <v>4</v>
      </c>
      <c r="C1143" s="2">
        <v>43259</v>
      </c>
    </row>
    <row r="1144" spans="1:3" x14ac:dyDescent="0.3">
      <c r="A1144">
        <v>69157</v>
      </c>
      <c r="B1144" s="1" t="s">
        <v>4</v>
      </c>
      <c r="C1144" s="2">
        <v>43121</v>
      </c>
    </row>
    <row r="1145" spans="1:3" x14ac:dyDescent="0.3">
      <c r="A1145">
        <v>98505</v>
      </c>
      <c r="B1145" s="1" t="s">
        <v>4</v>
      </c>
      <c r="C1145" s="2">
        <v>43154</v>
      </c>
    </row>
    <row r="1146" spans="1:3" x14ac:dyDescent="0.3">
      <c r="A1146">
        <v>6532</v>
      </c>
      <c r="B1146" s="1" t="s">
        <v>3</v>
      </c>
      <c r="C1146" s="2">
        <v>43112</v>
      </c>
    </row>
    <row r="1147" spans="1:3" x14ac:dyDescent="0.3">
      <c r="A1147">
        <v>52698</v>
      </c>
      <c r="B1147" s="1" t="s">
        <v>3</v>
      </c>
      <c r="C1147" s="2">
        <v>43138</v>
      </c>
    </row>
    <row r="1148" spans="1:3" x14ac:dyDescent="0.3">
      <c r="A1148">
        <v>72739</v>
      </c>
      <c r="B1148" s="1" t="s">
        <v>4</v>
      </c>
      <c r="C1148" s="2">
        <v>43114</v>
      </c>
    </row>
    <row r="1149" spans="1:3" x14ac:dyDescent="0.3">
      <c r="A1149">
        <v>58065</v>
      </c>
      <c r="B1149" s="1" t="s">
        <v>4</v>
      </c>
      <c r="C1149" s="2">
        <v>43117</v>
      </c>
    </row>
    <row r="1150" spans="1:3" x14ac:dyDescent="0.3">
      <c r="A1150">
        <v>52643</v>
      </c>
      <c r="B1150" s="1" t="s">
        <v>3</v>
      </c>
      <c r="C1150" s="2">
        <v>43140</v>
      </c>
    </row>
    <row r="1151" spans="1:3" x14ac:dyDescent="0.3">
      <c r="A1151">
        <v>33453</v>
      </c>
      <c r="B1151" s="1" t="s">
        <v>4</v>
      </c>
      <c r="C1151" s="2">
        <v>43165</v>
      </c>
    </row>
    <row r="1152" spans="1:3" x14ac:dyDescent="0.3">
      <c r="A1152">
        <v>56463</v>
      </c>
      <c r="B1152" s="1" t="s">
        <v>4</v>
      </c>
      <c r="C1152" s="2">
        <v>43249</v>
      </c>
    </row>
    <row r="1153" spans="1:3" x14ac:dyDescent="0.3">
      <c r="A1153">
        <v>14895</v>
      </c>
      <c r="B1153" s="1" t="s">
        <v>3</v>
      </c>
      <c r="C1153" s="2">
        <v>43239</v>
      </c>
    </row>
    <row r="1154" spans="1:3" x14ac:dyDescent="0.3">
      <c r="A1154">
        <v>72179</v>
      </c>
      <c r="B1154" s="1" t="s">
        <v>4</v>
      </c>
      <c r="C1154" s="2">
        <v>43166</v>
      </c>
    </row>
    <row r="1155" spans="1:3" x14ac:dyDescent="0.3">
      <c r="A1155">
        <v>85770</v>
      </c>
      <c r="B1155" s="1" t="s">
        <v>4</v>
      </c>
      <c r="C1155" s="2">
        <v>43100</v>
      </c>
    </row>
    <row r="1156" spans="1:3" x14ac:dyDescent="0.3">
      <c r="A1156">
        <v>66845</v>
      </c>
      <c r="B1156" s="1" t="s">
        <v>3</v>
      </c>
      <c r="C1156" s="2">
        <v>43169</v>
      </c>
    </row>
    <row r="1157" spans="1:3" x14ac:dyDescent="0.3">
      <c r="A1157">
        <v>36341</v>
      </c>
      <c r="B1157" s="1" t="s">
        <v>3</v>
      </c>
      <c r="C1157" s="2">
        <v>43098</v>
      </c>
    </row>
    <row r="1158" spans="1:3" x14ac:dyDescent="0.3">
      <c r="A1158">
        <v>46922</v>
      </c>
      <c r="B1158" s="1" t="s">
        <v>4</v>
      </c>
      <c r="C1158" s="2">
        <v>43260</v>
      </c>
    </row>
    <row r="1159" spans="1:3" x14ac:dyDescent="0.3">
      <c r="A1159">
        <v>73670</v>
      </c>
      <c r="B1159" s="1" t="s">
        <v>3</v>
      </c>
      <c r="C1159" s="2">
        <v>43237</v>
      </c>
    </row>
    <row r="1160" spans="1:3" x14ac:dyDescent="0.3">
      <c r="A1160">
        <v>58920</v>
      </c>
      <c r="B1160" s="1" t="s">
        <v>4</v>
      </c>
      <c r="C1160" s="2">
        <v>43113</v>
      </c>
    </row>
    <row r="1161" spans="1:3" x14ac:dyDescent="0.3">
      <c r="A1161">
        <v>32448</v>
      </c>
      <c r="B1161" s="1" t="s">
        <v>4</v>
      </c>
      <c r="C1161" s="2">
        <v>43140</v>
      </c>
    </row>
    <row r="1162" spans="1:3" x14ac:dyDescent="0.3">
      <c r="A1162">
        <v>1247</v>
      </c>
      <c r="B1162" s="1" t="s">
        <v>3</v>
      </c>
      <c r="C1162" s="2">
        <v>43263</v>
      </c>
    </row>
    <row r="1163" spans="1:3" x14ac:dyDescent="0.3">
      <c r="A1163">
        <v>60466</v>
      </c>
      <c r="B1163" s="1" t="s">
        <v>4</v>
      </c>
      <c r="C1163" s="2">
        <v>43228</v>
      </c>
    </row>
    <row r="1164" spans="1:3" x14ac:dyDescent="0.3">
      <c r="A1164">
        <v>3949</v>
      </c>
      <c r="B1164" s="1" t="s">
        <v>3</v>
      </c>
      <c r="C1164" s="2">
        <v>43254</v>
      </c>
    </row>
    <row r="1165" spans="1:3" x14ac:dyDescent="0.3">
      <c r="A1165">
        <v>80157</v>
      </c>
      <c r="B1165" s="1" t="s">
        <v>3</v>
      </c>
      <c r="C1165" s="2">
        <v>43155</v>
      </c>
    </row>
    <row r="1166" spans="1:3" x14ac:dyDescent="0.3">
      <c r="A1166">
        <v>40615</v>
      </c>
      <c r="B1166" s="1" t="s">
        <v>4</v>
      </c>
      <c r="C1166" s="2">
        <v>43153</v>
      </c>
    </row>
    <row r="1167" spans="1:3" x14ac:dyDescent="0.3">
      <c r="A1167">
        <v>84027</v>
      </c>
      <c r="B1167" s="1" t="s">
        <v>3</v>
      </c>
      <c r="C1167" s="2">
        <v>43267</v>
      </c>
    </row>
    <row r="1168" spans="1:3" x14ac:dyDescent="0.3">
      <c r="A1168">
        <v>80339</v>
      </c>
      <c r="B1168" s="1" t="s">
        <v>4</v>
      </c>
      <c r="C1168" s="2">
        <v>43257</v>
      </c>
    </row>
    <row r="1169" spans="1:3" x14ac:dyDescent="0.3">
      <c r="A1169">
        <v>39453</v>
      </c>
      <c r="B1169" s="1" t="s">
        <v>3</v>
      </c>
      <c r="C1169" s="2">
        <v>43133</v>
      </c>
    </row>
    <row r="1170" spans="1:3" x14ac:dyDescent="0.3">
      <c r="A1170">
        <v>62289</v>
      </c>
      <c r="B1170" s="1" t="s">
        <v>3</v>
      </c>
      <c r="C1170" s="2">
        <v>43237</v>
      </c>
    </row>
    <row r="1171" spans="1:3" x14ac:dyDescent="0.3">
      <c r="A1171">
        <v>64749</v>
      </c>
      <c r="B1171" s="1" t="s">
        <v>3</v>
      </c>
      <c r="C1171" s="2">
        <v>43192</v>
      </c>
    </row>
    <row r="1172" spans="1:3" x14ac:dyDescent="0.3">
      <c r="A1172">
        <v>5706</v>
      </c>
      <c r="B1172" s="1" t="s">
        <v>3</v>
      </c>
      <c r="C1172" s="2">
        <v>43152</v>
      </c>
    </row>
    <row r="1173" spans="1:3" x14ac:dyDescent="0.3">
      <c r="A1173">
        <v>90778</v>
      </c>
      <c r="B1173" s="1" t="s">
        <v>4</v>
      </c>
      <c r="C1173" s="2">
        <v>43192</v>
      </c>
    </row>
    <row r="1174" spans="1:3" x14ac:dyDescent="0.3">
      <c r="A1174">
        <v>30219</v>
      </c>
      <c r="B1174" s="1" t="s">
        <v>4</v>
      </c>
      <c r="C1174" s="2">
        <v>43186</v>
      </c>
    </row>
    <row r="1175" spans="1:3" x14ac:dyDescent="0.3">
      <c r="A1175">
        <v>94438</v>
      </c>
      <c r="B1175" s="1" t="s">
        <v>3</v>
      </c>
      <c r="C1175" s="2">
        <v>43113</v>
      </c>
    </row>
    <row r="1176" spans="1:3" x14ac:dyDescent="0.3">
      <c r="A1176">
        <v>41335</v>
      </c>
      <c r="B1176" s="1" t="s">
        <v>4</v>
      </c>
      <c r="C1176" s="2">
        <v>43143</v>
      </c>
    </row>
    <row r="1177" spans="1:3" x14ac:dyDescent="0.3">
      <c r="A1177">
        <v>40516</v>
      </c>
      <c r="B1177" s="1" t="s">
        <v>4</v>
      </c>
      <c r="C1177" s="2">
        <v>43218</v>
      </c>
    </row>
    <row r="1178" spans="1:3" x14ac:dyDescent="0.3">
      <c r="A1178">
        <v>85458</v>
      </c>
      <c r="B1178" s="1" t="s">
        <v>4</v>
      </c>
      <c r="C1178" s="2">
        <v>43177</v>
      </c>
    </row>
    <row r="1179" spans="1:3" x14ac:dyDescent="0.3">
      <c r="A1179">
        <v>55978</v>
      </c>
      <c r="B1179" s="1" t="s">
        <v>4</v>
      </c>
      <c r="C1179" s="2">
        <v>43118</v>
      </c>
    </row>
    <row r="1180" spans="1:3" x14ac:dyDescent="0.3">
      <c r="A1180">
        <v>19243</v>
      </c>
      <c r="B1180" s="1" t="s">
        <v>3</v>
      </c>
      <c r="C1180" s="2">
        <v>43084</v>
      </c>
    </row>
    <row r="1181" spans="1:3" x14ac:dyDescent="0.3">
      <c r="A1181">
        <v>65888</v>
      </c>
      <c r="B1181" s="1" t="s">
        <v>4</v>
      </c>
      <c r="C1181" s="2">
        <v>43134</v>
      </c>
    </row>
    <row r="1182" spans="1:3" x14ac:dyDescent="0.3">
      <c r="A1182">
        <v>39440</v>
      </c>
      <c r="B1182" s="1" t="s">
        <v>4</v>
      </c>
      <c r="C1182" s="2">
        <v>43095</v>
      </c>
    </row>
    <row r="1183" spans="1:3" x14ac:dyDescent="0.3">
      <c r="A1183">
        <v>36526</v>
      </c>
      <c r="B1183" s="1" t="s">
        <v>4</v>
      </c>
      <c r="C1183" s="2">
        <v>43199</v>
      </c>
    </row>
    <row r="1184" spans="1:3" x14ac:dyDescent="0.3">
      <c r="A1184">
        <v>66779</v>
      </c>
      <c r="B1184" s="1" t="s">
        <v>3</v>
      </c>
      <c r="C1184" s="2">
        <v>43204</v>
      </c>
    </row>
    <row r="1185" spans="1:3" x14ac:dyDescent="0.3">
      <c r="A1185">
        <v>50965</v>
      </c>
      <c r="B1185" s="1" t="s">
        <v>4</v>
      </c>
      <c r="C1185" s="2">
        <v>43103</v>
      </c>
    </row>
    <row r="1186" spans="1:3" x14ac:dyDescent="0.3">
      <c r="A1186">
        <v>92098</v>
      </c>
      <c r="B1186" s="1" t="s">
        <v>3</v>
      </c>
      <c r="C1186" s="2">
        <v>43251</v>
      </c>
    </row>
    <row r="1187" spans="1:3" x14ac:dyDescent="0.3">
      <c r="A1187">
        <v>49559</v>
      </c>
      <c r="B1187" s="1" t="s">
        <v>3</v>
      </c>
      <c r="C1187" s="2">
        <v>43226</v>
      </c>
    </row>
    <row r="1188" spans="1:3" x14ac:dyDescent="0.3">
      <c r="A1188">
        <v>62587</v>
      </c>
      <c r="B1188" s="1" t="s">
        <v>3</v>
      </c>
      <c r="C1188" s="2">
        <v>43269</v>
      </c>
    </row>
    <row r="1189" spans="1:3" x14ac:dyDescent="0.3">
      <c r="A1189">
        <v>74776</v>
      </c>
      <c r="B1189" s="1" t="s">
        <v>4</v>
      </c>
      <c r="C1189" s="2">
        <v>43199</v>
      </c>
    </row>
    <row r="1190" spans="1:3" x14ac:dyDescent="0.3">
      <c r="A1190">
        <v>47972</v>
      </c>
      <c r="B1190" s="1" t="s">
        <v>3</v>
      </c>
      <c r="C1190" s="2">
        <v>43101</v>
      </c>
    </row>
    <row r="1191" spans="1:3" x14ac:dyDescent="0.3">
      <c r="A1191">
        <v>90159</v>
      </c>
      <c r="B1191" s="1" t="s">
        <v>4</v>
      </c>
      <c r="C1191" s="2">
        <v>43135</v>
      </c>
    </row>
    <row r="1192" spans="1:3" x14ac:dyDescent="0.3">
      <c r="A1192">
        <v>95117</v>
      </c>
      <c r="B1192" s="1" t="s">
        <v>3</v>
      </c>
      <c r="C1192" s="2">
        <v>43278</v>
      </c>
    </row>
    <row r="1193" spans="1:3" x14ac:dyDescent="0.3">
      <c r="A1193">
        <v>85570</v>
      </c>
      <c r="B1193" s="1" t="s">
        <v>4</v>
      </c>
      <c r="C1193" s="2">
        <v>43200</v>
      </c>
    </row>
    <row r="1194" spans="1:3" x14ac:dyDescent="0.3">
      <c r="A1194">
        <v>40868</v>
      </c>
      <c r="B1194" s="1" t="s">
        <v>3</v>
      </c>
      <c r="C1194" s="2">
        <v>43197</v>
      </c>
    </row>
    <row r="1195" spans="1:3" x14ac:dyDescent="0.3">
      <c r="A1195">
        <v>83134</v>
      </c>
      <c r="B1195" s="1" t="s">
        <v>3</v>
      </c>
      <c r="C1195" s="2">
        <v>43158</v>
      </c>
    </row>
    <row r="1196" spans="1:3" x14ac:dyDescent="0.3">
      <c r="A1196">
        <v>7772</v>
      </c>
      <c r="B1196" s="1" t="s">
        <v>3</v>
      </c>
      <c r="C1196" s="2">
        <v>43174</v>
      </c>
    </row>
    <row r="1197" spans="1:3" x14ac:dyDescent="0.3">
      <c r="A1197">
        <v>83996</v>
      </c>
      <c r="B1197" s="1" t="s">
        <v>3</v>
      </c>
      <c r="C1197" s="2">
        <v>43212</v>
      </c>
    </row>
    <row r="1198" spans="1:3" x14ac:dyDescent="0.3">
      <c r="A1198">
        <v>18822</v>
      </c>
      <c r="B1198" s="1" t="s">
        <v>3</v>
      </c>
      <c r="C1198" s="2">
        <v>43109</v>
      </c>
    </row>
    <row r="1199" spans="1:3" x14ac:dyDescent="0.3">
      <c r="A1199">
        <v>21134</v>
      </c>
      <c r="B1199" s="1" t="s">
        <v>3</v>
      </c>
      <c r="C1199" s="2">
        <v>43163</v>
      </c>
    </row>
    <row r="1200" spans="1:3" x14ac:dyDescent="0.3">
      <c r="A1200">
        <v>79959</v>
      </c>
      <c r="B1200" s="1" t="s">
        <v>4</v>
      </c>
      <c r="C1200" s="2">
        <v>43137</v>
      </c>
    </row>
    <row r="1201" spans="1:3" x14ac:dyDescent="0.3">
      <c r="A1201">
        <v>20004</v>
      </c>
      <c r="B1201" s="1" t="s">
        <v>3</v>
      </c>
      <c r="C1201" s="2">
        <v>43144</v>
      </c>
    </row>
    <row r="1202" spans="1:3" x14ac:dyDescent="0.3">
      <c r="A1202">
        <v>23048</v>
      </c>
      <c r="B1202" s="1" t="s">
        <v>3</v>
      </c>
      <c r="C1202" s="2">
        <v>43202</v>
      </c>
    </row>
    <row r="1203" spans="1:3" x14ac:dyDescent="0.3">
      <c r="A1203">
        <v>29760</v>
      </c>
      <c r="B1203" s="1" t="s">
        <v>3</v>
      </c>
      <c r="C1203" s="2">
        <v>43253</v>
      </c>
    </row>
    <row r="1204" spans="1:3" x14ac:dyDescent="0.3">
      <c r="A1204">
        <v>95719</v>
      </c>
      <c r="B1204" s="1" t="s">
        <v>3</v>
      </c>
      <c r="C1204" s="2">
        <v>43252</v>
      </c>
    </row>
    <row r="1205" spans="1:3" x14ac:dyDescent="0.3">
      <c r="A1205">
        <v>59172</v>
      </c>
      <c r="B1205" s="1" t="s">
        <v>4</v>
      </c>
      <c r="C1205" s="2">
        <v>43186</v>
      </c>
    </row>
    <row r="1206" spans="1:3" x14ac:dyDescent="0.3">
      <c r="A1206">
        <v>28962</v>
      </c>
      <c r="B1206" s="1" t="s">
        <v>3</v>
      </c>
      <c r="C1206" s="2">
        <v>43103</v>
      </c>
    </row>
    <row r="1207" spans="1:3" x14ac:dyDescent="0.3">
      <c r="A1207">
        <v>81155</v>
      </c>
      <c r="B1207" s="1" t="s">
        <v>4</v>
      </c>
      <c r="C1207" s="2">
        <v>43270</v>
      </c>
    </row>
    <row r="1208" spans="1:3" x14ac:dyDescent="0.3">
      <c r="A1208">
        <v>51308</v>
      </c>
      <c r="B1208" s="1" t="s">
        <v>4</v>
      </c>
      <c r="C1208" s="2">
        <v>43176</v>
      </c>
    </row>
    <row r="1209" spans="1:3" x14ac:dyDescent="0.3">
      <c r="A1209">
        <v>1771</v>
      </c>
      <c r="B1209" s="1" t="s">
        <v>3</v>
      </c>
      <c r="C1209" s="2">
        <v>43190</v>
      </c>
    </row>
    <row r="1210" spans="1:3" x14ac:dyDescent="0.3">
      <c r="A1210">
        <v>36984</v>
      </c>
      <c r="B1210" s="1" t="s">
        <v>4</v>
      </c>
      <c r="C1210" s="2">
        <v>43101</v>
      </c>
    </row>
    <row r="1211" spans="1:3" x14ac:dyDescent="0.3">
      <c r="A1211">
        <v>6731</v>
      </c>
      <c r="B1211" s="1" t="s">
        <v>3</v>
      </c>
      <c r="C1211" s="2">
        <v>43131</v>
      </c>
    </row>
    <row r="1212" spans="1:3" x14ac:dyDescent="0.3">
      <c r="A1212">
        <v>68286</v>
      </c>
      <c r="B1212" s="1" t="s">
        <v>3</v>
      </c>
      <c r="C1212" s="2">
        <v>43186</v>
      </c>
    </row>
    <row r="1213" spans="1:3" x14ac:dyDescent="0.3">
      <c r="A1213">
        <v>43640</v>
      </c>
      <c r="B1213" s="1" t="s">
        <v>4</v>
      </c>
      <c r="C1213" s="2">
        <v>43109</v>
      </c>
    </row>
    <row r="1214" spans="1:3" x14ac:dyDescent="0.3">
      <c r="A1214">
        <v>13704</v>
      </c>
      <c r="B1214" s="1" t="s">
        <v>3</v>
      </c>
      <c r="C1214" s="2">
        <v>43085</v>
      </c>
    </row>
    <row r="1215" spans="1:3" x14ac:dyDescent="0.3">
      <c r="A1215">
        <v>36333</v>
      </c>
      <c r="B1215" s="1" t="s">
        <v>3</v>
      </c>
      <c r="C1215" s="2">
        <v>43241</v>
      </c>
    </row>
    <row r="1216" spans="1:3" x14ac:dyDescent="0.3">
      <c r="A1216">
        <v>46474</v>
      </c>
      <c r="B1216" s="1" t="s">
        <v>4</v>
      </c>
      <c r="C1216" s="2">
        <v>43235</v>
      </c>
    </row>
    <row r="1217" spans="1:3" x14ac:dyDescent="0.3">
      <c r="A1217">
        <v>65060</v>
      </c>
      <c r="B1217" s="1" t="s">
        <v>3</v>
      </c>
      <c r="C1217" s="2">
        <v>43273</v>
      </c>
    </row>
    <row r="1218" spans="1:3" x14ac:dyDescent="0.3">
      <c r="A1218">
        <v>7796</v>
      </c>
      <c r="B1218" s="1" t="s">
        <v>3</v>
      </c>
      <c r="C1218" s="2">
        <v>43198</v>
      </c>
    </row>
    <row r="1219" spans="1:3" x14ac:dyDescent="0.3">
      <c r="A1219">
        <v>91222</v>
      </c>
      <c r="B1219" s="1" t="s">
        <v>4</v>
      </c>
      <c r="C1219" s="2">
        <v>43209</v>
      </c>
    </row>
    <row r="1220" spans="1:3" x14ac:dyDescent="0.3">
      <c r="A1220">
        <v>79168</v>
      </c>
      <c r="B1220" s="1" t="s">
        <v>3</v>
      </c>
      <c r="C1220" s="2">
        <v>43089</v>
      </c>
    </row>
    <row r="1221" spans="1:3" x14ac:dyDescent="0.3">
      <c r="A1221">
        <v>95659</v>
      </c>
      <c r="B1221" s="1" t="s">
        <v>4</v>
      </c>
      <c r="C1221" s="2">
        <v>43205</v>
      </c>
    </row>
    <row r="1222" spans="1:3" x14ac:dyDescent="0.3">
      <c r="A1222">
        <v>78606</v>
      </c>
      <c r="B1222" s="1" t="s">
        <v>4</v>
      </c>
      <c r="C1222" s="2">
        <v>43233</v>
      </c>
    </row>
    <row r="1223" spans="1:3" x14ac:dyDescent="0.3">
      <c r="A1223">
        <v>58678</v>
      </c>
      <c r="B1223" s="1" t="s">
        <v>4</v>
      </c>
      <c r="C1223" s="2">
        <v>43245</v>
      </c>
    </row>
    <row r="1224" spans="1:3" x14ac:dyDescent="0.3">
      <c r="A1224">
        <v>82914</v>
      </c>
      <c r="B1224" s="1" t="s">
        <v>4</v>
      </c>
      <c r="C1224" s="2">
        <v>43182</v>
      </c>
    </row>
    <row r="1225" spans="1:3" x14ac:dyDescent="0.3">
      <c r="A1225">
        <v>62045</v>
      </c>
      <c r="B1225" s="1" t="s">
        <v>4</v>
      </c>
      <c r="C1225" s="2">
        <v>43271</v>
      </c>
    </row>
    <row r="1226" spans="1:3" x14ac:dyDescent="0.3">
      <c r="A1226">
        <v>71318</v>
      </c>
      <c r="B1226" s="1" t="s">
        <v>4</v>
      </c>
      <c r="C1226" s="2">
        <v>43160</v>
      </c>
    </row>
    <row r="1227" spans="1:3" x14ac:dyDescent="0.3">
      <c r="A1227">
        <v>88458</v>
      </c>
      <c r="B1227" s="1" t="s">
        <v>4</v>
      </c>
      <c r="C1227" s="2">
        <v>43129</v>
      </c>
    </row>
    <row r="1228" spans="1:3" x14ac:dyDescent="0.3">
      <c r="A1228">
        <v>71402</v>
      </c>
      <c r="B1228" s="1" t="s">
        <v>3</v>
      </c>
      <c r="C1228" s="2">
        <v>43184</v>
      </c>
    </row>
    <row r="1229" spans="1:3" x14ac:dyDescent="0.3">
      <c r="A1229">
        <v>93294</v>
      </c>
      <c r="B1229" s="1" t="s">
        <v>3</v>
      </c>
      <c r="C1229" s="2">
        <v>43196</v>
      </c>
    </row>
    <row r="1230" spans="1:3" x14ac:dyDescent="0.3">
      <c r="A1230">
        <v>84343</v>
      </c>
      <c r="B1230" s="1" t="s">
        <v>4</v>
      </c>
      <c r="C1230" s="2">
        <v>43193</v>
      </c>
    </row>
    <row r="1231" spans="1:3" x14ac:dyDescent="0.3">
      <c r="A1231">
        <v>52191</v>
      </c>
      <c r="B1231" s="1" t="s">
        <v>4</v>
      </c>
      <c r="C1231" s="2">
        <v>43151</v>
      </c>
    </row>
    <row r="1232" spans="1:3" x14ac:dyDescent="0.3">
      <c r="A1232">
        <v>40005</v>
      </c>
      <c r="B1232" s="1" t="s">
        <v>3</v>
      </c>
      <c r="C1232" s="2">
        <v>43201</v>
      </c>
    </row>
    <row r="1233" spans="1:3" x14ac:dyDescent="0.3">
      <c r="A1233">
        <v>4079</v>
      </c>
      <c r="B1233" s="1" t="s">
        <v>3</v>
      </c>
      <c r="C1233" s="2">
        <v>43196</v>
      </c>
    </row>
    <row r="1234" spans="1:3" x14ac:dyDescent="0.3">
      <c r="A1234">
        <v>65947</v>
      </c>
      <c r="B1234" s="1" t="s">
        <v>4</v>
      </c>
      <c r="C1234" s="2">
        <v>43100</v>
      </c>
    </row>
    <row r="1235" spans="1:3" x14ac:dyDescent="0.3">
      <c r="A1235">
        <v>58864</v>
      </c>
      <c r="B1235" s="1" t="s">
        <v>4</v>
      </c>
      <c r="C1235" s="2">
        <v>43127</v>
      </c>
    </row>
    <row r="1236" spans="1:3" x14ac:dyDescent="0.3">
      <c r="A1236">
        <v>28451</v>
      </c>
      <c r="B1236" s="1" t="s">
        <v>3</v>
      </c>
      <c r="C1236" s="2">
        <v>43161</v>
      </c>
    </row>
    <row r="1237" spans="1:3" x14ac:dyDescent="0.3">
      <c r="A1237">
        <v>52297</v>
      </c>
      <c r="B1237" s="1" t="s">
        <v>4</v>
      </c>
      <c r="C1237" s="2">
        <v>43212</v>
      </c>
    </row>
    <row r="1238" spans="1:3" x14ac:dyDescent="0.3">
      <c r="A1238">
        <v>60964</v>
      </c>
      <c r="B1238" s="1" t="s">
        <v>4</v>
      </c>
      <c r="C1238" s="2">
        <v>43273</v>
      </c>
    </row>
    <row r="1239" spans="1:3" x14ac:dyDescent="0.3">
      <c r="A1239">
        <v>47773</v>
      </c>
      <c r="B1239" s="1" t="s">
        <v>3</v>
      </c>
      <c r="C1239" s="2">
        <v>43232</v>
      </c>
    </row>
    <row r="1240" spans="1:3" x14ac:dyDescent="0.3">
      <c r="A1240">
        <v>21903</v>
      </c>
      <c r="B1240" s="1" t="s">
        <v>3</v>
      </c>
      <c r="C1240" s="2">
        <v>43109</v>
      </c>
    </row>
    <row r="1241" spans="1:3" x14ac:dyDescent="0.3">
      <c r="A1241">
        <v>9237</v>
      </c>
      <c r="B1241" s="1" t="s">
        <v>3</v>
      </c>
      <c r="C1241" s="2">
        <v>43194</v>
      </c>
    </row>
    <row r="1242" spans="1:3" x14ac:dyDescent="0.3">
      <c r="A1242">
        <v>98226</v>
      </c>
      <c r="B1242" s="1" t="s">
        <v>3</v>
      </c>
      <c r="C1242" s="2">
        <v>43172</v>
      </c>
    </row>
    <row r="1243" spans="1:3" x14ac:dyDescent="0.3">
      <c r="A1243">
        <v>60063</v>
      </c>
      <c r="B1243" s="1" t="s">
        <v>4</v>
      </c>
      <c r="C1243" s="2">
        <v>43217</v>
      </c>
    </row>
    <row r="1244" spans="1:3" x14ac:dyDescent="0.3">
      <c r="A1244">
        <v>82676</v>
      </c>
      <c r="B1244" s="1" t="s">
        <v>4</v>
      </c>
      <c r="C1244" s="2">
        <v>43144</v>
      </c>
    </row>
    <row r="1245" spans="1:3" x14ac:dyDescent="0.3">
      <c r="A1245">
        <v>69128</v>
      </c>
      <c r="B1245" s="1" t="s">
        <v>4</v>
      </c>
      <c r="C1245" s="2">
        <v>43248</v>
      </c>
    </row>
    <row r="1246" spans="1:3" x14ac:dyDescent="0.3">
      <c r="A1246">
        <v>92406</v>
      </c>
      <c r="B1246" s="1" t="s">
        <v>4</v>
      </c>
      <c r="C1246" s="2">
        <v>43105</v>
      </c>
    </row>
    <row r="1247" spans="1:3" x14ac:dyDescent="0.3">
      <c r="A1247">
        <v>60772</v>
      </c>
      <c r="B1247" s="1" t="s">
        <v>4</v>
      </c>
      <c r="C1247" s="2">
        <v>43221</v>
      </c>
    </row>
    <row r="1248" spans="1:3" x14ac:dyDescent="0.3">
      <c r="A1248">
        <v>16353</v>
      </c>
      <c r="B1248" s="1" t="s">
        <v>3</v>
      </c>
      <c r="C1248" s="2">
        <v>43130</v>
      </c>
    </row>
    <row r="1249" spans="1:3" x14ac:dyDescent="0.3">
      <c r="A1249">
        <v>76898</v>
      </c>
      <c r="B1249" s="1" t="s">
        <v>4</v>
      </c>
      <c r="C1249" s="2">
        <v>43102</v>
      </c>
    </row>
    <row r="1250" spans="1:3" x14ac:dyDescent="0.3">
      <c r="A1250">
        <v>54353</v>
      </c>
      <c r="B1250" s="1" t="s">
        <v>3</v>
      </c>
      <c r="C1250" s="2">
        <v>43102</v>
      </c>
    </row>
    <row r="1251" spans="1:3" x14ac:dyDescent="0.3">
      <c r="A1251">
        <v>80226</v>
      </c>
      <c r="B1251" s="1" t="s">
        <v>4</v>
      </c>
      <c r="C1251" s="2">
        <v>43278</v>
      </c>
    </row>
    <row r="1252" spans="1:3" x14ac:dyDescent="0.3">
      <c r="A1252">
        <v>81781</v>
      </c>
      <c r="B1252" s="1" t="s">
        <v>3</v>
      </c>
      <c r="C1252" s="2">
        <v>43129</v>
      </c>
    </row>
    <row r="1253" spans="1:3" x14ac:dyDescent="0.3">
      <c r="A1253">
        <v>34401</v>
      </c>
      <c r="B1253" s="1" t="s">
        <v>4</v>
      </c>
      <c r="C1253" s="2">
        <v>43187</v>
      </c>
    </row>
    <row r="1254" spans="1:3" x14ac:dyDescent="0.3">
      <c r="A1254">
        <v>85120</v>
      </c>
      <c r="B1254" s="1" t="s">
        <v>4</v>
      </c>
      <c r="C1254" s="2">
        <v>43278</v>
      </c>
    </row>
    <row r="1255" spans="1:3" x14ac:dyDescent="0.3">
      <c r="A1255">
        <v>34556</v>
      </c>
      <c r="B1255" s="1" t="s">
        <v>4</v>
      </c>
      <c r="C1255" s="2">
        <v>43133</v>
      </c>
    </row>
    <row r="1256" spans="1:3" x14ac:dyDescent="0.3">
      <c r="A1256">
        <v>54695</v>
      </c>
      <c r="B1256" s="1" t="s">
        <v>3</v>
      </c>
      <c r="C1256" s="2">
        <v>43251</v>
      </c>
    </row>
    <row r="1257" spans="1:3" x14ac:dyDescent="0.3">
      <c r="A1257">
        <v>98600</v>
      </c>
      <c r="B1257" s="1" t="s">
        <v>3</v>
      </c>
      <c r="C1257" s="2">
        <v>43140</v>
      </c>
    </row>
    <row r="1258" spans="1:3" x14ac:dyDescent="0.3">
      <c r="A1258">
        <v>67164</v>
      </c>
      <c r="B1258" s="1" t="s">
        <v>4</v>
      </c>
      <c r="C1258" s="2">
        <v>43171</v>
      </c>
    </row>
    <row r="1259" spans="1:3" x14ac:dyDescent="0.3">
      <c r="A1259">
        <v>78095</v>
      </c>
      <c r="B1259" s="1" t="s">
        <v>3</v>
      </c>
      <c r="C1259" s="2">
        <v>43198</v>
      </c>
    </row>
    <row r="1260" spans="1:3" x14ac:dyDescent="0.3">
      <c r="A1260">
        <v>48552</v>
      </c>
      <c r="B1260" s="1" t="s">
        <v>4</v>
      </c>
      <c r="C1260" s="2">
        <v>43108</v>
      </c>
    </row>
    <row r="1261" spans="1:3" x14ac:dyDescent="0.3">
      <c r="A1261">
        <v>91583</v>
      </c>
      <c r="B1261" s="1" t="s">
        <v>4</v>
      </c>
      <c r="C1261" s="2">
        <v>43120</v>
      </c>
    </row>
    <row r="1262" spans="1:3" x14ac:dyDescent="0.3">
      <c r="A1262">
        <v>48654</v>
      </c>
      <c r="B1262" s="1" t="s">
        <v>3</v>
      </c>
      <c r="C1262" s="2">
        <v>43255</v>
      </c>
    </row>
    <row r="1263" spans="1:3" x14ac:dyDescent="0.3">
      <c r="A1263">
        <v>71132</v>
      </c>
      <c r="B1263" s="1" t="s">
        <v>3</v>
      </c>
      <c r="C1263" s="2">
        <v>43255</v>
      </c>
    </row>
    <row r="1264" spans="1:3" x14ac:dyDescent="0.3">
      <c r="A1264">
        <v>51722</v>
      </c>
      <c r="B1264" s="1" t="s">
        <v>4</v>
      </c>
      <c r="C1264" s="2">
        <v>43103</v>
      </c>
    </row>
    <row r="1265" spans="1:3" x14ac:dyDescent="0.3">
      <c r="A1265">
        <v>51885</v>
      </c>
      <c r="B1265" s="1" t="s">
        <v>3</v>
      </c>
      <c r="C1265" s="2">
        <v>43124</v>
      </c>
    </row>
    <row r="1266" spans="1:3" x14ac:dyDescent="0.3">
      <c r="A1266">
        <v>68039</v>
      </c>
      <c r="B1266" s="1" t="s">
        <v>3</v>
      </c>
      <c r="C1266" s="2">
        <v>43113</v>
      </c>
    </row>
    <row r="1267" spans="1:3" x14ac:dyDescent="0.3">
      <c r="A1267">
        <v>78396</v>
      </c>
      <c r="B1267" s="1" t="s">
        <v>4</v>
      </c>
      <c r="C1267" s="2">
        <v>43144</v>
      </c>
    </row>
    <row r="1268" spans="1:3" x14ac:dyDescent="0.3">
      <c r="A1268">
        <v>12948</v>
      </c>
      <c r="B1268" s="1" t="s">
        <v>3</v>
      </c>
      <c r="C1268" s="2">
        <v>43158</v>
      </c>
    </row>
    <row r="1269" spans="1:3" x14ac:dyDescent="0.3">
      <c r="A1269">
        <v>22163</v>
      </c>
      <c r="B1269" s="1" t="s">
        <v>3</v>
      </c>
      <c r="C1269" s="2">
        <v>43111</v>
      </c>
    </row>
    <row r="1270" spans="1:3" x14ac:dyDescent="0.3">
      <c r="A1270">
        <v>33268</v>
      </c>
      <c r="B1270" s="1" t="s">
        <v>4</v>
      </c>
      <c r="C1270" s="2">
        <v>43178</v>
      </c>
    </row>
    <row r="1271" spans="1:3" x14ac:dyDescent="0.3">
      <c r="A1271">
        <v>65150</v>
      </c>
      <c r="B1271" s="1" t="s">
        <v>4</v>
      </c>
      <c r="C1271" s="2">
        <v>43212</v>
      </c>
    </row>
    <row r="1272" spans="1:3" x14ac:dyDescent="0.3">
      <c r="A1272">
        <v>34866</v>
      </c>
      <c r="B1272" s="1" t="s">
        <v>4</v>
      </c>
      <c r="C1272" s="2">
        <v>43171</v>
      </c>
    </row>
    <row r="1273" spans="1:3" x14ac:dyDescent="0.3">
      <c r="A1273">
        <v>46842</v>
      </c>
      <c r="B1273" s="1" t="s">
        <v>4</v>
      </c>
      <c r="C1273" s="2">
        <v>43140</v>
      </c>
    </row>
    <row r="1274" spans="1:3" x14ac:dyDescent="0.3">
      <c r="A1274">
        <v>18147</v>
      </c>
      <c r="B1274" s="1" t="s">
        <v>3</v>
      </c>
      <c r="C1274" s="2">
        <v>43145</v>
      </c>
    </row>
    <row r="1275" spans="1:3" x14ac:dyDescent="0.3">
      <c r="A1275">
        <v>4159</v>
      </c>
      <c r="B1275" s="1" t="s">
        <v>3</v>
      </c>
      <c r="C1275" s="2">
        <v>43126</v>
      </c>
    </row>
    <row r="1276" spans="1:3" x14ac:dyDescent="0.3">
      <c r="A1276">
        <v>42803</v>
      </c>
      <c r="B1276" s="1" t="s">
        <v>4</v>
      </c>
      <c r="C1276" s="2">
        <v>43276</v>
      </c>
    </row>
    <row r="1277" spans="1:3" x14ac:dyDescent="0.3">
      <c r="A1277">
        <v>66334</v>
      </c>
      <c r="B1277" s="1" t="s">
        <v>4</v>
      </c>
      <c r="C1277" s="2">
        <v>43151</v>
      </c>
    </row>
    <row r="1278" spans="1:3" x14ac:dyDescent="0.3">
      <c r="A1278">
        <v>77639</v>
      </c>
      <c r="B1278" s="1" t="s">
        <v>3</v>
      </c>
      <c r="C1278" s="2">
        <v>43097</v>
      </c>
    </row>
    <row r="1279" spans="1:3" x14ac:dyDescent="0.3">
      <c r="A1279">
        <v>89126</v>
      </c>
      <c r="B1279" s="1" t="s">
        <v>4</v>
      </c>
      <c r="C1279" s="2">
        <v>43110</v>
      </c>
    </row>
    <row r="1280" spans="1:3" x14ac:dyDescent="0.3">
      <c r="A1280">
        <v>43770</v>
      </c>
      <c r="B1280" s="1" t="s">
        <v>4</v>
      </c>
      <c r="C1280" s="2">
        <v>43115</v>
      </c>
    </row>
    <row r="1281" spans="1:3" x14ac:dyDescent="0.3">
      <c r="A1281">
        <v>31426</v>
      </c>
      <c r="B1281" s="1" t="s">
        <v>4</v>
      </c>
      <c r="C1281" s="2">
        <v>43204</v>
      </c>
    </row>
    <row r="1282" spans="1:3" x14ac:dyDescent="0.3">
      <c r="A1282">
        <v>36636</v>
      </c>
      <c r="B1282" s="1" t="s">
        <v>4</v>
      </c>
      <c r="C1282" s="2">
        <v>43108</v>
      </c>
    </row>
    <row r="1283" spans="1:3" x14ac:dyDescent="0.3">
      <c r="A1283">
        <v>24402</v>
      </c>
      <c r="B1283" s="1" t="s">
        <v>3</v>
      </c>
      <c r="C1283" s="2">
        <v>43196</v>
      </c>
    </row>
    <row r="1284" spans="1:3" x14ac:dyDescent="0.3">
      <c r="A1284">
        <v>59371</v>
      </c>
      <c r="B1284" s="1" t="s">
        <v>4</v>
      </c>
      <c r="C1284" s="2">
        <v>43207</v>
      </c>
    </row>
    <row r="1285" spans="1:3" x14ac:dyDescent="0.3">
      <c r="A1285">
        <v>85879</v>
      </c>
      <c r="B1285" s="1" t="s">
        <v>4</v>
      </c>
      <c r="C1285" s="2">
        <v>43104</v>
      </c>
    </row>
    <row r="1286" spans="1:3" x14ac:dyDescent="0.3">
      <c r="A1286">
        <v>55351</v>
      </c>
      <c r="B1286" s="1" t="s">
        <v>3</v>
      </c>
      <c r="C1286" s="2">
        <v>43166</v>
      </c>
    </row>
    <row r="1287" spans="1:3" x14ac:dyDescent="0.3">
      <c r="A1287">
        <v>88172</v>
      </c>
      <c r="B1287" s="1" t="s">
        <v>3</v>
      </c>
      <c r="C1287" s="2">
        <v>43236</v>
      </c>
    </row>
    <row r="1288" spans="1:3" x14ac:dyDescent="0.3">
      <c r="A1288">
        <v>49622</v>
      </c>
      <c r="B1288" s="1" t="s">
        <v>4</v>
      </c>
      <c r="C1288" s="2">
        <v>43121</v>
      </c>
    </row>
    <row r="1289" spans="1:3" x14ac:dyDescent="0.3">
      <c r="A1289">
        <v>68191</v>
      </c>
      <c r="B1289" s="1" t="s">
        <v>4</v>
      </c>
      <c r="C1289" s="2">
        <v>43217</v>
      </c>
    </row>
    <row r="1290" spans="1:3" x14ac:dyDescent="0.3">
      <c r="A1290">
        <v>19322</v>
      </c>
      <c r="B1290" s="1" t="s">
        <v>3</v>
      </c>
      <c r="C1290" s="2">
        <v>43276</v>
      </c>
    </row>
    <row r="1291" spans="1:3" x14ac:dyDescent="0.3">
      <c r="A1291">
        <v>80061</v>
      </c>
      <c r="B1291" s="1" t="s">
        <v>4</v>
      </c>
      <c r="C1291" s="2">
        <v>43251</v>
      </c>
    </row>
    <row r="1292" spans="1:3" x14ac:dyDescent="0.3">
      <c r="A1292">
        <v>61257</v>
      </c>
      <c r="B1292" s="1" t="s">
        <v>4</v>
      </c>
      <c r="C1292" s="2">
        <v>43207</v>
      </c>
    </row>
    <row r="1293" spans="1:3" x14ac:dyDescent="0.3">
      <c r="A1293">
        <v>33500</v>
      </c>
      <c r="B1293" s="1" t="s">
        <v>4</v>
      </c>
      <c r="C1293" s="2">
        <v>43241</v>
      </c>
    </row>
    <row r="1294" spans="1:3" x14ac:dyDescent="0.3">
      <c r="A1294">
        <v>13724</v>
      </c>
      <c r="B1294" s="1" t="s">
        <v>3</v>
      </c>
      <c r="C1294" s="2">
        <v>43174</v>
      </c>
    </row>
    <row r="1295" spans="1:3" x14ac:dyDescent="0.3">
      <c r="A1295">
        <v>21068</v>
      </c>
      <c r="B1295" s="1" t="s">
        <v>3</v>
      </c>
      <c r="C1295" s="2">
        <v>43117</v>
      </c>
    </row>
    <row r="1296" spans="1:3" x14ac:dyDescent="0.3">
      <c r="A1296">
        <v>11976</v>
      </c>
      <c r="B1296" s="1" t="s">
        <v>3</v>
      </c>
      <c r="C1296" s="2">
        <v>43133</v>
      </c>
    </row>
    <row r="1297" spans="1:3" x14ac:dyDescent="0.3">
      <c r="A1297">
        <v>11473</v>
      </c>
      <c r="B1297" s="1" t="s">
        <v>3</v>
      </c>
      <c r="C1297" s="2">
        <v>43129</v>
      </c>
    </row>
    <row r="1298" spans="1:3" x14ac:dyDescent="0.3">
      <c r="A1298">
        <v>47527</v>
      </c>
      <c r="B1298" s="1" t="s">
        <v>3</v>
      </c>
      <c r="C1298" s="2">
        <v>43136</v>
      </c>
    </row>
    <row r="1299" spans="1:3" x14ac:dyDescent="0.3">
      <c r="A1299">
        <v>54600</v>
      </c>
      <c r="B1299" s="1" t="s">
        <v>3</v>
      </c>
      <c r="C1299" s="2">
        <v>43092</v>
      </c>
    </row>
    <row r="1300" spans="1:3" x14ac:dyDescent="0.3">
      <c r="A1300">
        <v>74069</v>
      </c>
      <c r="B1300" s="1" t="s">
        <v>3</v>
      </c>
      <c r="C1300" s="2">
        <v>43106</v>
      </c>
    </row>
    <row r="1301" spans="1:3" x14ac:dyDescent="0.3">
      <c r="A1301">
        <v>72178</v>
      </c>
      <c r="B1301" s="1" t="s">
        <v>4</v>
      </c>
      <c r="C1301" s="2">
        <v>43102</v>
      </c>
    </row>
    <row r="1302" spans="1:3" x14ac:dyDescent="0.3">
      <c r="A1302">
        <v>30995</v>
      </c>
      <c r="B1302" s="1" t="s">
        <v>3</v>
      </c>
      <c r="C1302" s="2">
        <v>43192</v>
      </c>
    </row>
    <row r="1303" spans="1:3" x14ac:dyDescent="0.3">
      <c r="A1303">
        <v>39642</v>
      </c>
      <c r="B1303" s="1" t="s">
        <v>3</v>
      </c>
      <c r="C1303" s="2">
        <v>43129</v>
      </c>
    </row>
    <row r="1304" spans="1:3" x14ac:dyDescent="0.3">
      <c r="A1304">
        <v>82138</v>
      </c>
      <c r="B1304" s="1" t="s">
        <v>4</v>
      </c>
      <c r="C1304" s="2">
        <v>43238</v>
      </c>
    </row>
    <row r="1305" spans="1:3" x14ac:dyDescent="0.3">
      <c r="A1305">
        <v>88750</v>
      </c>
      <c r="B1305" s="1" t="s">
        <v>4</v>
      </c>
      <c r="C1305" s="2">
        <v>43129</v>
      </c>
    </row>
    <row r="1306" spans="1:3" x14ac:dyDescent="0.3">
      <c r="A1306">
        <v>38498</v>
      </c>
      <c r="B1306" s="1" t="s">
        <v>4</v>
      </c>
      <c r="C1306" s="2">
        <v>43264</v>
      </c>
    </row>
    <row r="1307" spans="1:3" x14ac:dyDescent="0.3">
      <c r="A1307">
        <v>63901</v>
      </c>
      <c r="B1307" s="1" t="s">
        <v>4</v>
      </c>
      <c r="C1307" s="2">
        <v>43113</v>
      </c>
    </row>
    <row r="1308" spans="1:3" x14ac:dyDescent="0.3">
      <c r="A1308">
        <v>34653</v>
      </c>
      <c r="B1308" s="1" t="s">
        <v>4</v>
      </c>
      <c r="C1308" s="2">
        <v>43220</v>
      </c>
    </row>
    <row r="1309" spans="1:3" x14ac:dyDescent="0.3">
      <c r="A1309">
        <v>74879</v>
      </c>
      <c r="B1309" s="1" t="s">
        <v>4</v>
      </c>
      <c r="C1309" s="2">
        <v>43124</v>
      </c>
    </row>
    <row r="1310" spans="1:3" x14ac:dyDescent="0.3">
      <c r="A1310">
        <v>87119</v>
      </c>
      <c r="B1310" s="1" t="s">
        <v>3</v>
      </c>
      <c r="C1310" s="2">
        <v>43196</v>
      </c>
    </row>
    <row r="1311" spans="1:3" x14ac:dyDescent="0.3">
      <c r="A1311">
        <v>58693</v>
      </c>
      <c r="B1311" s="1" t="s">
        <v>3</v>
      </c>
      <c r="C1311" s="2">
        <v>43191</v>
      </c>
    </row>
    <row r="1312" spans="1:3" x14ac:dyDescent="0.3">
      <c r="A1312">
        <v>14369</v>
      </c>
      <c r="B1312" s="1" t="s">
        <v>3</v>
      </c>
      <c r="C1312" s="2">
        <v>43136</v>
      </c>
    </row>
    <row r="1313" spans="1:3" x14ac:dyDescent="0.3">
      <c r="A1313">
        <v>43365</v>
      </c>
      <c r="B1313" s="1" t="s">
        <v>3</v>
      </c>
      <c r="C1313" s="2">
        <v>43194</v>
      </c>
    </row>
    <row r="1314" spans="1:3" x14ac:dyDescent="0.3">
      <c r="A1314">
        <v>27756</v>
      </c>
      <c r="B1314" s="1" t="s">
        <v>3</v>
      </c>
      <c r="C1314" s="2">
        <v>43186</v>
      </c>
    </row>
    <row r="1315" spans="1:3" x14ac:dyDescent="0.3">
      <c r="A1315">
        <v>37459</v>
      </c>
      <c r="B1315" s="1" t="s">
        <v>3</v>
      </c>
      <c r="C1315" s="2">
        <v>43244</v>
      </c>
    </row>
    <row r="1316" spans="1:3" x14ac:dyDescent="0.3">
      <c r="A1316">
        <v>12753</v>
      </c>
      <c r="B1316" s="1" t="s">
        <v>3</v>
      </c>
      <c r="C1316" s="2">
        <v>43189</v>
      </c>
    </row>
    <row r="1317" spans="1:3" x14ac:dyDescent="0.3">
      <c r="A1317">
        <v>32785</v>
      </c>
      <c r="B1317" s="1" t="s">
        <v>4</v>
      </c>
      <c r="C1317" s="2">
        <v>43140</v>
      </c>
    </row>
    <row r="1318" spans="1:3" x14ac:dyDescent="0.3">
      <c r="A1318">
        <v>85542</v>
      </c>
      <c r="B1318" s="1" t="s">
        <v>3</v>
      </c>
      <c r="C1318" s="2">
        <v>43164</v>
      </c>
    </row>
    <row r="1319" spans="1:3" x14ac:dyDescent="0.3">
      <c r="A1319">
        <v>25293</v>
      </c>
      <c r="B1319" s="1" t="s">
        <v>3</v>
      </c>
      <c r="C1319" s="2">
        <v>43264</v>
      </c>
    </row>
    <row r="1320" spans="1:3" x14ac:dyDescent="0.3">
      <c r="A1320">
        <v>84149</v>
      </c>
      <c r="B1320" s="1" t="s">
        <v>3</v>
      </c>
      <c r="C1320" s="2">
        <v>43171</v>
      </c>
    </row>
    <row r="1321" spans="1:3" x14ac:dyDescent="0.3">
      <c r="A1321">
        <v>40574</v>
      </c>
      <c r="B1321" s="1" t="s">
        <v>3</v>
      </c>
      <c r="C1321" s="2">
        <v>43223</v>
      </c>
    </row>
    <row r="1322" spans="1:3" x14ac:dyDescent="0.3">
      <c r="A1322">
        <v>80436</v>
      </c>
      <c r="B1322" s="1" t="s">
        <v>3</v>
      </c>
      <c r="C1322" s="2">
        <v>43186</v>
      </c>
    </row>
    <row r="1323" spans="1:3" x14ac:dyDescent="0.3">
      <c r="A1323">
        <v>23214</v>
      </c>
      <c r="B1323" s="1" t="s">
        <v>3</v>
      </c>
      <c r="C1323" s="2">
        <v>43163</v>
      </c>
    </row>
    <row r="1324" spans="1:3" x14ac:dyDescent="0.3">
      <c r="A1324">
        <v>78605</v>
      </c>
      <c r="B1324" s="1" t="s">
        <v>4</v>
      </c>
      <c r="C1324" s="2">
        <v>43182</v>
      </c>
    </row>
    <row r="1325" spans="1:3" x14ac:dyDescent="0.3">
      <c r="A1325">
        <v>99723</v>
      </c>
      <c r="B1325" s="1" t="s">
        <v>3</v>
      </c>
      <c r="C1325" s="2">
        <v>43235</v>
      </c>
    </row>
    <row r="1326" spans="1:3" x14ac:dyDescent="0.3">
      <c r="A1326">
        <v>86537</v>
      </c>
      <c r="B1326" s="1" t="s">
        <v>4</v>
      </c>
      <c r="C1326" s="2">
        <v>43209</v>
      </c>
    </row>
    <row r="1327" spans="1:3" x14ac:dyDescent="0.3">
      <c r="A1327">
        <v>39286</v>
      </c>
      <c r="B1327" s="1" t="s">
        <v>4</v>
      </c>
      <c r="C1327" s="2">
        <v>43272</v>
      </c>
    </row>
    <row r="1328" spans="1:3" x14ac:dyDescent="0.3">
      <c r="A1328">
        <v>94131</v>
      </c>
      <c r="B1328" s="1" t="s">
        <v>4</v>
      </c>
      <c r="C1328" s="2">
        <v>43085</v>
      </c>
    </row>
    <row r="1329" spans="1:3" x14ac:dyDescent="0.3">
      <c r="A1329">
        <v>92281</v>
      </c>
      <c r="B1329" s="1" t="s">
        <v>3</v>
      </c>
      <c r="C1329" s="2">
        <v>43121</v>
      </c>
    </row>
    <row r="1330" spans="1:3" x14ac:dyDescent="0.3">
      <c r="A1330">
        <v>93061</v>
      </c>
      <c r="B1330" s="1" t="s">
        <v>4</v>
      </c>
      <c r="C1330" s="2">
        <v>43130</v>
      </c>
    </row>
    <row r="1331" spans="1:3" x14ac:dyDescent="0.3">
      <c r="A1331">
        <v>36483</v>
      </c>
      <c r="B1331" s="1" t="s">
        <v>3</v>
      </c>
      <c r="C1331" s="2">
        <v>43275</v>
      </c>
    </row>
    <row r="1332" spans="1:3" x14ac:dyDescent="0.3">
      <c r="A1332">
        <v>77361</v>
      </c>
      <c r="B1332" s="1" t="s">
        <v>3</v>
      </c>
      <c r="C1332" s="2">
        <v>43278</v>
      </c>
    </row>
    <row r="1333" spans="1:3" x14ac:dyDescent="0.3">
      <c r="A1333">
        <v>98196</v>
      </c>
      <c r="B1333" s="1" t="s">
        <v>4</v>
      </c>
      <c r="C1333" s="2">
        <v>43197</v>
      </c>
    </row>
    <row r="1334" spans="1:3" x14ac:dyDescent="0.3">
      <c r="A1334">
        <v>35110</v>
      </c>
      <c r="B1334" s="1" t="s">
        <v>4</v>
      </c>
      <c r="C1334" s="2">
        <v>43282</v>
      </c>
    </row>
    <row r="1335" spans="1:3" x14ac:dyDescent="0.3">
      <c r="A1335">
        <v>88934</v>
      </c>
      <c r="B1335" s="1" t="s">
        <v>4</v>
      </c>
      <c r="C1335" s="2">
        <v>43182</v>
      </c>
    </row>
    <row r="1336" spans="1:3" x14ac:dyDescent="0.3">
      <c r="A1336">
        <v>92232</v>
      </c>
      <c r="B1336" s="1" t="s">
        <v>3</v>
      </c>
      <c r="C1336" s="2">
        <v>43282</v>
      </c>
    </row>
    <row r="1337" spans="1:3" x14ac:dyDescent="0.3">
      <c r="A1337">
        <v>71524</v>
      </c>
      <c r="B1337" s="1" t="s">
        <v>4</v>
      </c>
      <c r="C1337" s="2">
        <v>43173</v>
      </c>
    </row>
    <row r="1338" spans="1:3" x14ac:dyDescent="0.3">
      <c r="A1338">
        <v>42277</v>
      </c>
      <c r="B1338" s="1" t="s">
        <v>3</v>
      </c>
      <c r="C1338" s="2">
        <v>43260</v>
      </c>
    </row>
    <row r="1339" spans="1:3" x14ac:dyDescent="0.3">
      <c r="A1339">
        <v>99369</v>
      </c>
      <c r="B1339" s="1" t="s">
        <v>4</v>
      </c>
      <c r="C1339" s="2">
        <v>43258</v>
      </c>
    </row>
    <row r="1340" spans="1:3" x14ac:dyDescent="0.3">
      <c r="A1340">
        <v>90084</v>
      </c>
      <c r="B1340" s="1" t="s">
        <v>4</v>
      </c>
      <c r="C1340" s="2">
        <v>43112</v>
      </c>
    </row>
    <row r="1341" spans="1:3" x14ac:dyDescent="0.3">
      <c r="A1341">
        <v>30329</v>
      </c>
      <c r="B1341" s="1" t="s">
        <v>4</v>
      </c>
      <c r="C1341" s="2">
        <v>43159</v>
      </c>
    </row>
    <row r="1342" spans="1:3" x14ac:dyDescent="0.3">
      <c r="A1342">
        <v>31341</v>
      </c>
      <c r="B1342" s="1" t="s">
        <v>3</v>
      </c>
      <c r="C1342" s="2">
        <v>43108</v>
      </c>
    </row>
    <row r="1343" spans="1:3" x14ac:dyDescent="0.3">
      <c r="A1343">
        <v>81577</v>
      </c>
      <c r="B1343" s="1" t="s">
        <v>3</v>
      </c>
      <c r="C1343" s="2">
        <v>43222</v>
      </c>
    </row>
    <row r="1344" spans="1:3" x14ac:dyDescent="0.3">
      <c r="A1344">
        <v>35726</v>
      </c>
      <c r="B1344" s="1" t="s">
        <v>3</v>
      </c>
      <c r="C1344" s="2">
        <v>43188</v>
      </c>
    </row>
    <row r="1345" spans="1:3" x14ac:dyDescent="0.3">
      <c r="A1345">
        <v>48569</v>
      </c>
      <c r="B1345" s="1" t="s">
        <v>4</v>
      </c>
      <c r="C1345" s="2">
        <v>43171</v>
      </c>
    </row>
    <row r="1346" spans="1:3" x14ac:dyDescent="0.3">
      <c r="A1346">
        <v>75467</v>
      </c>
      <c r="B1346" s="1" t="s">
        <v>3</v>
      </c>
      <c r="C1346" s="2">
        <v>43142</v>
      </c>
    </row>
    <row r="1347" spans="1:3" x14ac:dyDescent="0.3">
      <c r="A1347">
        <v>37040</v>
      </c>
      <c r="B1347" s="1" t="s">
        <v>4</v>
      </c>
      <c r="C1347" s="2">
        <v>43263</v>
      </c>
    </row>
    <row r="1348" spans="1:3" x14ac:dyDescent="0.3">
      <c r="A1348">
        <v>70245</v>
      </c>
      <c r="B1348" s="1" t="s">
        <v>3</v>
      </c>
      <c r="C1348" s="2">
        <v>43235</v>
      </c>
    </row>
    <row r="1349" spans="1:3" x14ac:dyDescent="0.3">
      <c r="A1349">
        <v>51939</v>
      </c>
      <c r="B1349" s="1" t="s">
        <v>4</v>
      </c>
      <c r="C1349" s="2">
        <v>43096</v>
      </c>
    </row>
    <row r="1350" spans="1:3" x14ac:dyDescent="0.3">
      <c r="A1350">
        <v>79899</v>
      </c>
      <c r="B1350" s="1" t="s">
        <v>3</v>
      </c>
      <c r="C1350" s="2">
        <v>43179</v>
      </c>
    </row>
    <row r="1351" spans="1:3" x14ac:dyDescent="0.3">
      <c r="A1351">
        <v>69277</v>
      </c>
      <c r="B1351" s="1" t="s">
        <v>3</v>
      </c>
      <c r="C1351" s="2">
        <v>43125</v>
      </c>
    </row>
    <row r="1352" spans="1:3" x14ac:dyDescent="0.3">
      <c r="A1352">
        <v>60797</v>
      </c>
      <c r="B1352" s="1" t="s">
        <v>4</v>
      </c>
      <c r="C1352" s="2">
        <v>43123</v>
      </c>
    </row>
    <row r="1353" spans="1:3" x14ac:dyDescent="0.3">
      <c r="A1353">
        <v>33716</v>
      </c>
      <c r="B1353" s="1" t="s">
        <v>4</v>
      </c>
      <c r="C1353" s="2">
        <v>43110</v>
      </c>
    </row>
    <row r="1354" spans="1:3" x14ac:dyDescent="0.3">
      <c r="A1354">
        <v>72516</v>
      </c>
      <c r="B1354" s="1" t="s">
        <v>4</v>
      </c>
      <c r="C1354" s="2">
        <v>43242</v>
      </c>
    </row>
    <row r="1355" spans="1:3" x14ac:dyDescent="0.3">
      <c r="A1355">
        <v>35645</v>
      </c>
      <c r="B1355" s="1" t="s">
        <v>3</v>
      </c>
      <c r="C1355" s="2">
        <v>43132</v>
      </c>
    </row>
    <row r="1356" spans="1:3" x14ac:dyDescent="0.3">
      <c r="A1356">
        <v>48553</v>
      </c>
      <c r="B1356" s="1" t="s">
        <v>3</v>
      </c>
      <c r="C1356" s="2">
        <v>43214</v>
      </c>
    </row>
    <row r="1357" spans="1:3" x14ac:dyDescent="0.3">
      <c r="A1357">
        <v>7485</v>
      </c>
      <c r="B1357" s="1" t="s">
        <v>3</v>
      </c>
      <c r="C1357" s="2">
        <v>43168</v>
      </c>
    </row>
    <row r="1358" spans="1:3" x14ac:dyDescent="0.3">
      <c r="A1358">
        <v>89517</v>
      </c>
      <c r="B1358" s="1" t="s">
        <v>4</v>
      </c>
      <c r="C1358" s="2">
        <v>43170</v>
      </c>
    </row>
    <row r="1359" spans="1:3" x14ac:dyDescent="0.3">
      <c r="A1359">
        <v>61602</v>
      </c>
      <c r="B1359" s="1" t="s">
        <v>3</v>
      </c>
      <c r="C1359" s="2">
        <v>43231</v>
      </c>
    </row>
    <row r="1360" spans="1:3" x14ac:dyDescent="0.3">
      <c r="A1360">
        <v>92827</v>
      </c>
      <c r="B1360" s="1" t="s">
        <v>4</v>
      </c>
      <c r="C1360" s="2">
        <v>43201</v>
      </c>
    </row>
    <row r="1361" spans="1:3" x14ac:dyDescent="0.3">
      <c r="A1361">
        <v>94472</v>
      </c>
      <c r="B1361" s="1" t="s">
        <v>4</v>
      </c>
      <c r="C1361" s="2">
        <v>43222</v>
      </c>
    </row>
    <row r="1362" spans="1:3" x14ac:dyDescent="0.3">
      <c r="A1362">
        <v>48468</v>
      </c>
      <c r="B1362" s="1" t="s">
        <v>4</v>
      </c>
      <c r="C1362" s="2">
        <v>43216</v>
      </c>
    </row>
    <row r="1363" spans="1:3" x14ac:dyDescent="0.3">
      <c r="A1363">
        <v>56289</v>
      </c>
      <c r="B1363" s="1" t="s">
        <v>4</v>
      </c>
      <c r="C1363" s="2">
        <v>43180</v>
      </c>
    </row>
    <row r="1364" spans="1:3" x14ac:dyDescent="0.3">
      <c r="A1364">
        <v>38864</v>
      </c>
      <c r="B1364" s="1" t="s">
        <v>3</v>
      </c>
      <c r="C1364" s="2">
        <v>43126</v>
      </c>
    </row>
    <row r="1365" spans="1:3" x14ac:dyDescent="0.3">
      <c r="A1365">
        <v>51658</v>
      </c>
      <c r="B1365" s="1" t="s">
        <v>4</v>
      </c>
      <c r="C1365" s="2">
        <v>43240</v>
      </c>
    </row>
    <row r="1366" spans="1:3" x14ac:dyDescent="0.3">
      <c r="A1366">
        <v>89809</v>
      </c>
      <c r="B1366" s="1" t="s">
        <v>4</v>
      </c>
      <c r="C1366" s="2">
        <v>43129</v>
      </c>
    </row>
    <row r="1367" spans="1:3" x14ac:dyDescent="0.3">
      <c r="A1367">
        <v>68250</v>
      </c>
      <c r="B1367" s="1" t="s">
        <v>4</v>
      </c>
      <c r="C1367" s="2">
        <v>43220</v>
      </c>
    </row>
    <row r="1368" spans="1:3" x14ac:dyDescent="0.3">
      <c r="A1368">
        <v>62842</v>
      </c>
      <c r="B1368" s="1" t="s">
        <v>4</v>
      </c>
      <c r="C1368" s="2">
        <v>43246</v>
      </c>
    </row>
    <row r="1369" spans="1:3" x14ac:dyDescent="0.3">
      <c r="A1369">
        <v>50395</v>
      </c>
      <c r="B1369" s="1" t="s">
        <v>4</v>
      </c>
      <c r="C1369" s="2">
        <v>43156</v>
      </c>
    </row>
    <row r="1370" spans="1:3" x14ac:dyDescent="0.3">
      <c r="A1370">
        <v>33162</v>
      </c>
      <c r="B1370" s="1" t="s">
        <v>4</v>
      </c>
      <c r="C1370" s="2">
        <v>43102</v>
      </c>
    </row>
    <row r="1371" spans="1:3" x14ac:dyDescent="0.3">
      <c r="A1371">
        <v>3578</v>
      </c>
      <c r="B1371" s="1" t="s">
        <v>3</v>
      </c>
      <c r="C1371" s="2">
        <v>43231</v>
      </c>
    </row>
    <row r="1372" spans="1:3" x14ac:dyDescent="0.3">
      <c r="A1372">
        <v>37078</v>
      </c>
      <c r="B1372" s="1" t="s">
        <v>3</v>
      </c>
      <c r="C1372" s="2">
        <v>43228</v>
      </c>
    </row>
    <row r="1373" spans="1:3" x14ac:dyDescent="0.3">
      <c r="A1373">
        <v>88364</v>
      </c>
      <c r="B1373" s="1" t="s">
        <v>4</v>
      </c>
      <c r="C1373" s="2">
        <v>43179</v>
      </c>
    </row>
    <row r="1374" spans="1:3" x14ac:dyDescent="0.3">
      <c r="A1374">
        <v>76486</v>
      </c>
      <c r="B1374" s="1" t="s">
        <v>3</v>
      </c>
      <c r="C1374" s="2">
        <v>43219</v>
      </c>
    </row>
    <row r="1375" spans="1:3" x14ac:dyDescent="0.3">
      <c r="A1375">
        <v>84057</v>
      </c>
      <c r="B1375" s="1" t="s">
        <v>4</v>
      </c>
      <c r="C1375" s="2">
        <v>43210</v>
      </c>
    </row>
    <row r="1376" spans="1:3" x14ac:dyDescent="0.3">
      <c r="A1376">
        <v>48690</v>
      </c>
      <c r="B1376" s="1" t="s">
        <v>4</v>
      </c>
      <c r="C1376" s="2">
        <v>43259</v>
      </c>
    </row>
    <row r="1377" spans="1:3" x14ac:dyDescent="0.3">
      <c r="A1377">
        <v>44928</v>
      </c>
      <c r="B1377" s="1" t="s">
        <v>4</v>
      </c>
      <c r="C1377" s="2">
        <v>43208</v>
      </c>
    </row>
    <row r="1378" spans="1:3" x14ac:dyDescent="0.3">
      <c r="A1378">
        <v>85933</v>
      </c>
      <c r="B1378" s="1" t="s">
        <v>3</v>
      </c>
      <c r="C1378" s="2">
        <v>43177</v>
      </c>
    </row>
    <row r="1379" spans="1:3" x14ac:dyDescent="0.3">
      <c r="A1379">
        <v>86065</v>
      </c>
      <c r="B1379" s="1" t="s">
        <v>4</v>
      </c>
      <c r="C1379" s="2">
        <v>43129</v>
      </c>
    </row>
    <row r="1380" spans="1:3" x14ac:dyDescent="0.3">
      <c r="A1380">
        <v>94683</v>
      </c>
      <c r="B1380" s="1" t="s">
        <v>3</v>
      </c>
      <c r="C1380" s="2">
        <v>43084</v>
      </c>
    </row>
    <row r="1381" spans="1:3" x14ac:dyDescent="0.3">
      <c r="A1381">
        <v>37950</v>
      </c>
      <c r="B1381" s="1" t="s">
        <v>3</v>
      </c>
      <c r="C1381" s="2">
        <v>43184</v>
      </c>
    </row>
    <row r="1382" spans="1:3" x14ac:dyDescent="0.3">
      <c r="A1382">
        <v>24114</v>
      </c>
      <c r="B1382" s="1" t="s">
        <v>3</v>
      </c>
      <c r="C1382" s="2">
        <v>43124</v>
      </c>
    </row>
    <row r="1383" spans="1:3" x14ac:dyDescent="0.3">
      <c r="A1383">
        <v>66995</v>
      </c>
      <c r="B1383" s="1" t="s">
        <v>4</v>
      </c>
      <c r="C1383" s="2">
        <v>43151</v>
      </c>
    </row>
    <row r="1384" spans="1:3" x14ac:dyDescent="0.3">
      <c r="A1384">
        <v>54768</v>
      </c>
      <c r="B1384" s="1" t="s">
        <v>3</v>
      </c>
      <c r="C1384" s="2">
        <v>43088</v>
      </c>
    </row>
    <row r="1385" spans="1:3" x14ac:dyDescent="0.3">
      <c r="A1385">
        <v>65341</v>
      </c>
      <c r="B1385" s="1" t="s">
        <v>3</v>
      </c>
      <c r="C1385" s="2">
        <v>43119</v>
      </c>
    </row>
    <row r="1386" spans="1:3" x14ac:dyDescent="0.3">
      <c r="A1386">
        <v>67991</v>
      </c>
      <c r="B1386" s="1" t="s">
        <v>3</v>
      </c>
      <c r="C1386" s="2">
        <v>43096</v>
      </c>
    </row>
    <row r="1387" spans="1:3" x14ac:dyDescent="0.3">
      <c r="A1387">
        <v>71186</v>
      </c>
      <c r="B1387" s="1" t="s">
        <v>4</v>
      </c>
      <c r="C1387" s="2">
        <v>43216</v>
      </c>
    </row>
    <row r="1388" spans="1:3" x14ac:dyDescent="0.3">
      <c r="A1388">
        <v>62567</v>
      </c>
      <c r="B1388" s="1" t="s">
        <v>4</v>
      </c>
      <c r="C1388" s="2">
        <v>43089</v>
      </c>
    </row>
    <row r="1389" spans="1:3" x14ac:dyDescent="0.3">
      <c r="A1389">
        <v>76027</v>
      </c>
      <c r="B1389" s="1" t="s">
        <v>4</v>
      </c>
      <c r="C1389" s="2">
        <v>43144</v>
      </c>
    </row>
    <row r="1390" spans="1:3" x14ac:dyDescent="0.3">
      <c r="A1390">
        <v>64062</v>
      </c>
      <c r="B1390" s="1" t="s">
        <v>3</v>
      </c>
      <c r="C1390" s="2">
        <v>43099</v>
      </c>
    </row>
    <row r="1391" spans="1:3" x14ac:dyDescent="0.3">
      <c r="A1391">
        <v>20695</v>
      </c>
      <c r="B1391" s="1" t="s">
        <v>3</v>
      </c>
      <c r="C1391" s="2">
        <v>43224</v>
      </c>
    </row>
    <row r="1392" spans="1:3" x14ac:dyDescent="0.3">
      <c r="A1392">
        <v>7979</v>
      </c>
      <c r="B1392" s="1" t="s">
        <v>3</v>
      </c>
      <c r="C1392" s="2">
        <v>43215</v>
      </c>
    </row>
    <row r="1393" spans="1:3" x14ac:dyDescent="0.3">
      <c r="A1393">
        <v>2911</v>
      </c>
      <c r="B1393" s="1" t="s">
        <v>3</v>
      </c>
      <c r="C1393" s="2">
        <v>43096</v>
      </c>
    </row>
    <row r="1394" spans="1:3" x14ac:dyDescent="0.3">
      <c r="A1394">
        <v>76826</v>
      </c>
      <c r="B1394" s="1" t="s">
        <v>3</v>
      </c>
      <c r="C1394" s="2">
        <v>43150</v>
      </c>
    </row>
    <row r="1395" spans="1:3" x14ac:dyDescent="0.3">
      <c r="A1395">
        <v>25941</v>
      </c>
      <c r="B1395" s="1" t="s">
        <v>3</v>
      </c>
      <c r="C1395" s="2">
        <v>43181</v>
      </c>
    </row>
    <row r="1396" spans="1:3" x14ac:dyDescent="0.3">
      <c r="A1396">
        <v>36363</v>
      </c>
      <c r="B1396" s="1" t="s">
        <v>4</v>
      </c>
      <c r="C1396" s="2">
        <v>43174</v>
      </c>
    </row>
    <row r="1397" spans="1:3" x14ac:dyDescent="0.3">
      <c r="A1397">
        <v>92943</v>
      </c>
      <c r="B1397" s="1" t="s">
        <v>4</v>
      </c>
      <c r="C1397" s="2">
        <v>43199</v>
      </c>
    </row>
    <row r="1398" spans="1:3" x14ac:dyDescent="0.3">
      <c r="A1398">
        <v>40895</v>
      </c>
      <c r="B1398" s="1" t="s">
        <v>4</v>
      </c>
      <c r="C1398" s="2">
        <v>43219</v>
      </c>
    </row>
    <row r="1399" spans="1:3" x14ac:dyDescent="0.3">
      <c r="A1399">
        <v>84413</v>
      </c>
      <c r="B1399" s="1" t="s">
        <v>3</v>
      </c>
      <c r="C1399" s="2">
        <v>43256</v>
      </c>
    </row>
    <row r="1400" spans="1:3" x14ac:dyDescent="0.3">
      <c r="A1400">
        <v>78500</v>
      </c>
      <c r="B1400" s="1" t="s">
        <v>4</v>
      </c>
      <c r="C1400" s="2">
        <v>43134</v>
      </c>
    </row>
    <row r="1401" spans="1:3" x14ac:dyDescent="0.3">
      <c r="A1401">
        <v>74403</v>
      </c>
      <c r="B1401" s="1" t="s">
        <v>4</v>
      </c>
      <c r="C1401" s="2">
        <v>43136</v>
      </c>
    </row>
    <row r="1402" spans="1:3" x14ac:dyDescent="0.3">
      <c r="A1402">
        <v>90829</v>
      </c>
      <c r="B1402" s="1" t="s">
        <v>3</v>
      </c>
      <c r="C1402" s="2">
        <v>43144</v>
      </c>
    </row>
    <row r="1403" spans="1:3" x14ac:dyDescent="0.3">
      <c r="A1403">
        <v>34242</v>
      </c>
      <c r="B1403" s="1" t="s">
        <v>4</v>
      </c>
      <c r="C1403" s="2">
        <v>43086</v>
      </c>
    </row>
    <row r="1404" spans="1:3" x14ac:dyDescent="0.3">
      <c r="A1404">
        <v>78758</v>
      </c>
      <c r="B1404" s="1" t="s">
        <v>4</v>
      </c>
      <c r="C1404" s="2">
        <v>43116</v>
      </c>
    </row>
    <row r="1405" spans="1:3" x14ac:dyDescent="0.3">
      <c r="A1405">
        <v>50222</v>
      </c>
      <c r="B1405" s="1" t="s">
        <v>4</v>
      </c>
      <c r="C1405" s="2">
        <v>43096</v>
      </c>
    </row>
    <row r="1406" spans="1:3" x14ac:dyDescent="0.3">
      <c r="A1406">
        <v>36044</v>
      </c>
      <c r="B1406" s="1" t="s">
        <v>4</v>
      </c>
      <c r="C1406" s="2">
        <v>43162</v>
      </c>
    </row>
    <row r="1407" spans="1:3" x14ac:dyDescent="0.3">
      <c r="A1407">
        <v>8523</v>
      </c>
      <c r="B1407" s="1" t="s">
        <v>3</v>
      </c>
      <c r="C1407" s="2">
        <v>43268</v>
      </c>
    </row>
    <row r="1408" spans="1:3" x14ac:dyDescent="0.3">
      <c r="A1408">
        <v>61911</v>
      </c>
      <c r="B1408" s="1" t="s">
        <v>4</v>
      </c>
      <c r="C1408" s="2">
        <v>43125</v>
      </c>
    </row>
    <row r="1409" spans="1:3" x14ac:dyDescent="0.3">
      <c r="A1409">
        <v>83301</v>
      </c>
      <c r="B1409" s="1" t="s">
        <v>4</v>
      </c>
      <c r="C1409" s="2">
        <v>43215</v>
      </c>
    </row>
    <row r="1410" spans="1:3" x14ac:dyDescent="0.3">
      <c r="A1410">
        <v>19682</v>
      </c>
      <c r="B1410" s="1" t="s">
        <v>3</v>
      </c>
      <c r="C1410" s="2">
        <v>43119</v>
      </c>
    </row>
    <row r="1411" spans="1:3" x14ac:dyDescent="0.3">
      <c r="A1411">
        <v>68505</v>
      </c>
      <c r="B1411" s="1" t="s">
        <v>3</v>
      </c>
      <c r="C1411" s="2">
        <v>43280</v>
      </c>
    </row>
    <row r="1412" spans="1:3" x14ac:dyDescent="0.3">
      <c r="A1412">
        <v>92374</v>
      </c>
      <c r="B1412" s="1" t="s">
        <v>4</v>
      </c>
      <c r="C1412" s="2">
        <v>43082</v>
      </c>
    </row>
    <row r="1413" spans="1:3" x14ac:dyDescent="0.3">
      <c r="A1413">
        <v>41190</v>
      </c>
      <c r="B1413" s="1" t="s">
        <v>3</v>
      </c>
      <c r="C1413" s="2">
        <v>43152</v>
      </c>
    </row>
    <row r="1414" spans="1:3" x14ac:dyDescent="0.3">
      <c r="A1414">
        <v>49551</v>
      </c>
      <c r="B1414" s="1" t="s">
        <v>4</v>
      </c>
      <c r="C1414" s="2">
        <v>43171</v>
      </c>
    </row>
    <row r="1415" spans="1:3" x14ac:dyDescent="0.3">
      <c r="A1415">
        <v>63178</v>
      </c>
      <c r="B1415" s="1" t="s">
        <v>3</v>
      </c>
      <c r="C1415" s="2">
        <v>43167</v>
      </c>
    </row>
    <row r="1416" spans="1:3" x14ac:dyDescent="0.3">
      <c r="A1416">
        <v>35006</v>
      </c>
      <c r="B1416" s="1" t="s">
        <v>3</v>
      </c>
      <c r="C1416" s="2">
        <v>43193</v>
      </c>
    </row>
    <row r="1417" spans="1:3" x14ac:dyDescent="0.3">
      <c r="A1417">
        <v>70073</v>
      </c>
      <c r="B1417" s="1" t="s">
        <v>3</v>
      </c>
      <c r="C1417" s="2">
        <v>43113</v>
      </c>
    </row>
    <row r="1418" spans="1:3" x14ac:dyDescent="0.3">
      <c r="A1418">
        <v>94119</v>
      </c>
      <c r="B1418" s="1" t="s">
        <v>4</v>
      </c>
      <c r="C1418" s="2">
        <v>43189</v>
      </c>
    </row>
    <row r="1419" spans="1:3" x14ac:dyDescent="0.3">
      <c r="A1419">
        <v>85542</v>
      </c>
      <c r="B1419" s="1" t="s">
        <v>3</v>
      </c>
      <c r="C1419" s="2">
        <v>43096</v>
      </c>
    </row>
    <row r="1420" spans="1:3" x14ac:dyDescent="0.3">
      <c r="A1420">
        <v>95313</v>
      </c>
      <c r="B1420" s="1" t="s">
        <v>3</v>
      </c>
      <c r="C1420" s="2">
        <v>43151</v>
      </c>
    </row>
    <row r="1421" spans="1:3" x14ac:dyDescent="0.3">
      <c r="A1421">
        <v>95242</v>
      </c>
      <c r="B1421" s="1" t="s">
        <v>4</v>
      </c>
      <c r="C1421" s="2">
        <v>43104</v>
      </c>
    </row>
    <row r="1422" spans="1:3" x14ac:dyDescent="0.3">
      <c r="A1422">
        <v>68619</v>
      </c>
      <c r="B1422" s="1" t="s">
        <v>3</v>
      </c>
      <c r="C1422" s="2">
        <v>43098</v>
      </c>
    </row>
    <row r="1423" spans="1:3" x14ac:dyDescent="0.3">
      <c r="A1423">
        <v>72149</v>
      </c>
      <c r="B1423" s="1" t="s">
        <v>3</v>
      </c>
      <c r="C1423" s="2">
        <v>43261</v>
      </c>
    </row>
    <row r="1424" spans="1:3" x14ac:dyDescent="0.3">
      <c r="A1424">
        <v>19376</v>
      </c>
      <c r="B1424" s="1" t="s">
        <v>3</v>
      </c>
      <c r="C1424" s="2">
        <v>43195</v>
      </c>
    </row>
    <row r="1425" spans="1:3" x14ac:dyDescent="0.3">
      <c r="A1425">
        <v>38915</v>
      </c>
      <c r="B1425" s="1" t="s">
        <v>4</v>
      </c>
      <c r="C1425" s="2">
        <v>43143</v>
      </c>
    </row>
    <row r="1426" spans="1:3" x14ac:dyDescent="0.3">
      <c r="A1426">
        <v>87939</v>
      </c>
      <c r="B1426" s="1" t="s">
        <v>3</v>
      </c>
      <c r="C1426" s="2">
        <v>43218</v>
      </c>
    </row>
    <row r="1427" spans="1:3" x14ac:dyDescent="0.3">
      <c r="A1427">
        <v>98926</v>
      </c>
      <c r="B1427" s="1" t="s">
        <v>3</v>
      </c>
      <c r="C1427" s="2">
        <v>43272</v>
      </c>
    </row>
    <row r="1428" spans="1:3" x14ac:dyDescent="0.3">
      <c r="A1428">
        <v>32040</v>
      </c>
      <c r="B1428" s="1" t="s">
        <v>3</v>
      </c>
      <c r="C1428" s="2">
        <v>43267</v>
      </c>
    </row>
    <row r="1429" spans="1:3" x14ac:dyDescent="0.3">
      <c r="A1429">
        <v>88651</v>
      </c>
      <c r="B1429" s="1" t="s">
        <v>4</v>
      </c>
      <c r="C1429" s="2">
        <v>43212</v>
      </c>
    </row>
    <row r="1430" spans="1:3" x14ac:dyDescent="0.3">
      <c r="A1430">
        <v>63921</v>
      </c>
      <c r="B1430" s="1" t="s">
        <v>3</v>
      </c>
      <c r="C1430" s="2">
        <v>43085</v>
      </c>
    </row>
    <row r="1431" spans="1:3" x14ac:dyDescent="0.3">
      <c r="A1431">
        <v>63303</v>
      </c>
      <c r="B1431" s="1" t="s">
        <v>4</v>
      </c>
      <c r="C1431" s="2">
        <v>43212</v>
      </c>
    </row>
    <row r="1432" spans="1:3" x14ac:dyDescent="0.3">
      <c r="A1432">
        <v>77761</v>
      </c>
      <c r="B1432" s="1" t="s">
        <v>4</v>
      </c>
      <c r="C1432" s="2">
        <v>43203</v>
      </c>
    </row>
    <row r="1433" spans="1:3" x14ac:dyDescent="0.3">
      <c r="A1433">
        <v>60197</v>
      </c>
      <c r="B1433" s="1" t="s">
        <v>4</v>
      </c>
      <c r="C1433" s="2">
        <v>43123</v>
      </c>
    </row>
    <row r="1434" spans="1:3" x14ac:dyDescent="0.3">
      <c r="A1434">
        <v>44437</v>
      </c>
      <c r="B1434" s="1" t="s">
        <v>3</v>
      </c>
      <c r="C1434" s="2">
        <v>43129</v>
      </c>
    </row>
    <row r="1435" spans="1:3" x14ac:dyDescent="0.3">
      <c r="A1435">
        <v>48642</v>
      </c>
      <c r="B1435" s="1" t="s">
        <v>3</v>
      </c>
      <c r="C1435" s="2">
        <v>43111</v>
      </c>
    </row>
    <row r="1436" spans="1:3" x14ac:dyDescent="0.3">
      <c r="A1436">
        <v>23132</v>
      </c>
      <c r="B1436" s="1" t="s">
        <v>3</v>
      </c>
      <c r="C1436" s="2">
        <v>43270</v>
      </c>
    </row>
    <row r="1437" spans="1:3" x14ac:dyDescent="0.3">
      <c r="A1437">
        <v>76082</v>
      </c>
      <c r="B1437" s="1" t="s">
        <v>3</v>
      </c>
      <c r="C1437" s="2">
        <v>43184</v>
      </c>
    </row>
    <row r="1438" spans="1:3" x14ac:dyDescent="0.3">
      <c r="A1438">
        <v>53453</v>
      </c>
      <c r="B1438" s="1" t="s">
        <v>3</v>
      </c>
      <c r="C1438" s="2">
        <v>43245</v>
      </c>
    </row>
    <row r="1439" spans="1:3" x14ac:dyDescent="0.3">
      <c r="A1439">
        <v>76691</v>
      </c>
      <c r="B1439" s="1" t="s">
        <v>4</v>
      </c>
      <c r="C1439" s="2">
        <v>43096</v>
      </c>
    </row>
    <row r="1440" spans="1:3" x14ac:dyDescent="0.3">
      <c r="A1440">
        <v>6753</v>
      </c>
      <c r="B1440" s="1" t="s">
        <v>3</v>
      </c>
      <c r="C1440" s="2">
        <v>43135</v>
      </c>
    </row>
    <row r="1441" spans="1:3" x14ac:dyDescent="0.3">
      <c r="A1441">
        <v>96561</v>
      </c>
      <c r="B1441" s="1" t="s">
        <v>4</v>
      </c>
      <c r="C1441" s="2">
        <v>43096</v>
      </c>
    </row>
    <row r="1442" spans="1:3" x14ac:dyDescent="0.3">
      <c r="A1442">
        <v>33060</v>
      </c>
      <c r="B1442" s="1" t="s">
        <v>3</v>
      </c>
      <c r="C1442" s="2">
        <v>43212</v>
      </c>
    </row>
    <row r="1443" spans="1:3" x14ac:dyDescent="0.3">
      <c r="A1443">
        <v>44650</v>
      </c>
      <c r="B1443" s="1" t="s">
        <v>4</v>
      </c>
      <c r="C1443" s="2">
        <v>43256</v>
      </c>
    </row>
    <row r="1444" spans="1:3" x14ac:dyDescent="0.3">
      <c r="A1444">
        <v>93768</v>
      </c>
      <c r="B1444" s="1" t="s">
        <v>3</v>
      </c>
      <c r="C1444" s="2">
        <v>43086</v>
      </c>
    </row>
    <row r="1445" spans="1:3" x14ac:dyDescent="0.3">
      <c r="A1445">
        <v>66602</v>
      </c>
      <c r="B1445" s="1" t="s">
        <v>3</v>
      </c>
      <c r="C1445" s="2">
        <v>43235</v>
      </c>
    </row>
    <row r="1446" spans="1:3" x14ac:dyDescent="0.3">
      <c r="A1446">
        <v>99689</v>
      </c>
      <c r="B1446" s="1" t="s">
        <v>4</v>
      </c>
      <c r="C1446" s="2">
        <v>43096</v>
      </c>
    </row>
    <row r="1447" spans="1:3" x14ac:dyDescent="0.3">
      <c r="A1447">
        <v>43694</v>
      </c>
      <c r="B1447" s="1" t="s">
        <v>3</v>
      </c>
      <c r="C1447" s="2">
        <v>43211</v>
      </c>
    </row>
    <row r="1448" spans="1:3" x14ac:dyDescent="0.3">
      <c r="A1448">
        <v>66792</v>
      </c>
      <c r="B1448" s="1" t="s">
        <v>4</v>
      </c>
      <c r="C1448" s="2">
        <v>43195</v>
      </c>
    </row>
    <row r="1449" spans="1:3" x14ac:dyDescent="0.3">
      <c r="A1449">
        <v>85681</v>
      </c>
      <c r="B1449" s="1" t="s">
        <v>4</v>
      </c>
      <c r="C1449" s="2">
        <v>43237</v>
      </c>
    </row>
    <row r="1450" spans="1:3" x14ac:dyDescent="0.3">
      <c r="A1450">
        <v>90880</v>
      </c>
      <c r="B1450" s="1" t="s">
        <v>4</v>
      </c>
      <c r="C1450" s="2">
        <v>43088</v>
      </c>
    </row>
    <row r="1451" spans="1:3" x14ac:dyDescent="0.3">
      <c r="A1451">
        <v>74436</v>
      </c>
      <c r="B1451" s="1" t="s">
        <v>4</v>
      </c>
      <c r="C1451" s="2">
        <v>43115</v>
      </c>
    </row>
    <row r="1452" spans="1:3" x14ac:dyDescent="0.3">
      <c r="A1452">
        <v>29366</v>
      </c>
      <c r="B1452" s="1" t="s">
        <v>3</v>
      </c>
      <c r="C1452" s="2">
        <v>43146</v>
      </c>
    </row>
    <row r="1453" spans="1:3" x14ac:dyDescent="0.3">
      <c r="A1453">
        <v>33837</v>
      </c>
      <c r="B1453" s="1" t="s">
        <v>3</v>
      </c>
      <c r="C1453" s="2">
        <v>43197</v>
      </c>
    </row>
    <row r="1454" spans="1:3" x14ac:dyDescent="0.3">
      <c r="A1454">
        <v>79385</v>
      </c>
      <c r="B1454" s="1" t="s">
        <v>4</v>
      </c>
      <c r="C1454" s="2">
        <v>43147</v>
      </c>
    </row>
    <row r="1455" spans="1:3" x14ac:dyDescent="0.3">
      <c r="A1455">
        <v>24488</v>
      </c>
      <c r="B1455" s="1" t="s">
        <v>3</v>
      </c>
      <c r="C1455" s="2">
        <v>43099</v>
      </c>
    </row>
    <row r="1456" spans="1:3" x14ac:dyDescent="0.3">
      <c r="A1456">
        <v>34605</v>
      </c>
      <c r="B1456" s="1" t="s">
        <v>4</v>
      </c>
      <c r="C1456" s="2">
        <v>43088</v>
      </c>
    </row>
    <row r="1457" spans="1:3" x14ac:dyDescent="0.3">
      <c r="A1457">
        <v>79831</v>
      </c>
      <c r="B1457" s="1" t="s">
        <v>3</v>
      </c>
      <c r="C1457" s="2">
        <v>43277</v>
      </c>
    </row>
    <row r="1458" spans="1:3" x14ac:dyDescent="0.3">
      <c r="A1458">
        <v>55420</v>
      </c>
      <c r="B1458" s="1" t="s">
        <v>3</v>
      </c>
      <c r="C1458" s="2">
        <v>43248</v>
      </c>
    </row>
    <row r="1459" spans="1:3" x14ac:dyDescent="0.3">
      <c r="A1459">
        <v>37198</v>
      </c>
      <c r="B1459" s="1" t="s">
        <v>4</v>
      </c>
      <c r="C1459" s="2">
        <v>43256</v>
      </c>
    </row>
    <row r="1460" spans="1:3" x14ac:dyDescent="0.3">
      <c r="A1460">
        <v>21822</v>
      </c>
      <c r="B1460" s="1" t="s">
        <v>3</v>
      </c>
      <c r="C1460" s="2">
        <v>43169</v>
      </c>
    </row>
    <row r="1461" spans="1:3" x14ac:dyDescent="0.3">
      <c r="A1461">
        <v>75196</v>
      </c>
      <c r="B1461" s="1" t="s">
        <v>3</v>
      </c>
      <c r="C1461" s="2">
        <v>43208</v>
      </c>
    </row>
    <row r="1462" spans="1:3" x14ac:dyDescent="0.3">
      <c r="A1462">
        <v>15294</v>
      </c>
      <c r="B1462" s="1" t="s">
        <v>3</v>
      </c>
      <c r="C1462" s="2">
        <v>43272</v>
      </c>
    </row>
    <row r="1463" spans="1:3" x14ac:dyDescent="0.3">
      <c r="A1463">
        <v>36325</v>
      </c>
      <c r="B1463" s="1" t="s">
        <v>3</v>
      </c>
      <c r="C1463" s="2">
        <v>43264</v>
      </c>
    </row>
    <row r="1464" spans="1:3" x14ac:dyDescent="0.3">
      <c r="A1464">
        <v>40081</v>
      </c>
      <c r="B1464" s="1" t="s">
        <v>4</v>
      </c>
      <c r="C1464" s="2">
        <v>43242</v>
      </c>
    </row>
    <row r="1465" spans="1:3" x14ac:dyDescent="0.3">
      <c r="A1465">
        <v>40824</v>
      </c>
      <c r="B1465" s="1" t="s">
        <v>4</v>
      </c>
      <c r="C1465" s="2">
        <v>43155</v>
      </c>
    </row>
    <row r="1466" spans="1:3" x14ac:dyDescent="0.3">
      <c r="A1466">
        <v>68463</v>
      </c>
      <c r="B1466" s="1" t="s">
        <v>3</v>
      </c>
      <c r="C1466" s="2">
        <v>43086</v>
      </c>
    </row>
    <row r="1467" spans="1:3" x14ac:dyDescent="0.3">
      <c r="A1467">
        <v>35265</v>
      </c>
      <c r="B1467" s="1" t="s">
        <v>3</v>
      </c>
      <c r="C1467" s="2">
        <v>43253</v>
      </c>
    </row>
    <row r="1468" spans="1:3" x14ac:dyDescent="0.3">
      <c r="A1468">
        <v>75068</v>
      </c>
      <c r="B1468" s="1" t="s">
        <v>3</v>
      </c>
      <c r="C1468" s="2">
        <v>43138</v>
      </c>
    </row>
    <row r="1469" spans="1:3" x14ac:dyDescent="0.3">
      <c r="A1469">
        <v>3011</v>
      </c>
      <c r="B1469" s="1" t="s">
        <v>3</v>
      </c>
      <c r="C1469" s="2">
        <v>43168</v>
      </c>
    </row>
    <row r="1470" spans="1:3" x14ac:dyDescent="0.3">
      <c r="A1470">
        <v>71135</v>
      </c>
      <c r="B1470" s="1" t="s">
        <v>3</v>
      </c>
      <c r="C1470" s="2">
        <v>43132</v>
      </c>
    </row>
    <row r="1471" spans="1:3" x14ac:dyDescent="0.3">
      <c r="A1471">
        <v>57001</v>
      </c>
      <c r="B1471" s="1" t="s">
        <v>4</v>
      </c>
      <c r="C1471" s="2">
        <v>43218</v>
      </c>
    </row>
    <row r="1472" spans="1:3" x14ac:dyDescent="0.3">
      <c r="A1472">
        <v>49318</v>
      </c>
      <c r="B1472" s="1" t="s">
        <v>4</v>
      </c>
      <c r="C1472" s="2">
        <v>43238</v>
      </c>
    </row>
    <row r="1473" spans="1:3" x14ac:dyDescent="0.3">
      <c r="A1473">
        <v>75640</v>
      </c>
      <c r="B1473" s="1" t="s">
        <v>4</v>
      </c>
      <c r="C1473" s="2">
        <v>43189</v>
      </c>
    </row>
    <row r="1474" spans="1:3" x14ac:dyDescent="0.3">
      <c r="A1474">
        <v>89452</v>
      </c>
      <c r="B1474" s="1" t="s">
        <v>4</v>
      </c>
      <c r="C1474" s="2">
        <v>43100</v>
      </c>
    </row>
    <row r="1475" spans="1:3" x14ac:dyDescent="0.3">
      <c r="A1475">
        <v>48630</v>
      </c>
      <c r="B1475" s="1" t="s">
        <v>4</v>
      </c>
      <c r="C1475" s="2">
        <v>43231</v>
      </c>
    </row>
    <row r="1476" spans="1:3" x14ac:dyDescent="0.3">
      <c r="A1476">
        <v>74898</v>
      </c>
      <c r="B1476" s="1" t="s">
        <v>4</v>
      </c>
      <c r="C1476" s="2">
        <v>43207</v>
      </c>
    </row>
    <row r="1477" spans="1:3" x14ac:dyDescent="0.3">
      <c r="A1477">
        <v>34753</v>
      </c>
      <c r="B1477" s="1" t="s">
        <v>4</v>
      </c>
      <c r="C1477" s="2">
        <v>43200</v>
      </c>
    </row>
    <row r="1478" spans="1:3" x14ac:dyDescent="0.3">
      <c r="A1478">
        <v>94163</v>
      </c>
      <c r="B1478" s="1" t="s">
        <v>4</v>
      </c>
      <c r="C1478" s="2">
        <v>43231</v>
      </c>
    </row>
    <row r="1479" spans="1:3" x14ac:dyDescent="0.3">
      <c r="A1479">
        <v>60797</v>
      </c>
      <c r="B1479" s="1" t="s">
        <v>4</v>
      </c>
      <c r="C1479" s="2">
        <v>43187</v>
      </c>
    </row>
    <row r="1480" spans="1:3" x14ac:dyDescent="0.3">
      <c r="A1480">
        <v>13835</v>
      </c>
      <c r="B1480" s="1" t="s">
        <v>3</v>
      </c>
      <c r="C1480" s="2">
        <v>43117</v>
      </c>
    </row>
    <row r="1481" spans="1:3" x14ac:dyDescent="0.3">
      <c r="A1481">
        <v>56062</v>
      </c>
      <c r="B1481" s="1" t="s">
        <v>4</v>
      </c>
      <c r="C1481" s="2">
        <v>43151</v>
      </c>
    </row>
    <row r="1482" spans="1:3" x14ac:dyDescent="0.3">
      <c r="A1482">
        <v>47116</v>
      </c>
      <c r="B1482" s="1" t="s">
        <v>3</v>
      </c>
      <c r="C1482" s="2">
        <v>43268</v>
      </c>
    </row>
    <row r="1483" spans="1:3" x14ac:dyDescent="0.3">
      <c r="A1483">
        <v>76099</v>
      </c>
      <c r="B1483" s="1" t="s">
        <v>3</v>
      </c>
      <c r="C1483" s="2">
        <v>43245</v>
      </c>
    </row>
    <row r="1484" spans="1:3" x14ac:dyDescent="0.3">
      <c r="A1484">
        <v>65619</v>
      </c>
      <c r="B1484" s="1" t="s">
        <v>4</v>
      </c>
      <c r="C1484" s="2">
        <v>43256</v>
      </c>
    </row>
    <row r="1485" spans="1:3" x14ac:dyDescent="0.3">
      <c r="A1485">
        <v>31156</v>
      </c>
      <c r="B1485" s="1" t="s">
        <v>3</v>
      </c>
      <c r="C1485" s="2">
        <v>43089</v>
      </c>
    </row>
    <row r="1486" spans="1:3" x14ac:dyDescent="0.3">
      <c r="A1486">
        <v>46229</v>
      </c>
      <c r="B1486" s="1" t="s">
        <v>4</v>
      </c>
      <c r="C1486" s="2">
        <v>43126</v>
      </c>
    </row>
    <row r="1487" spans="1:3" x14ac:dyDescent="0.3">
      <c r="A1487">
        <v>57154</v>
      </c>
      <c r="B1487" s="1" t="s">
        <v>3</v>
      </c>
      <c r="C1487" s="2">
        <v>43235</v>
      </c>
    </row>
    <row r="1488" spans="1:3" x14ac:dyDescent="0.3">
      <c r="A1488">
        <v>88981</v>
      </c>
      <c r="B1488" s="1" t="s">
        <v>3</v>
      </c>
      <c r="C1488" s="2">
        <v>43125</v>
      </c>
    </row>
    <row r="1489" spans="1:3" x14ac:dyDescent="0.3">
      <c r="A1489">
        <v>97507</v>
      </c>
      <c r="B1489" s="1" t="s">
        <v>4</v>
      </c>
      <c r="C1489" s="2">
        <v>43241</v>
      </c>
    </row>
    <row r="1490" spans="1:3" x14ac:dyDescent="0.3">
      <c r="A1490">
        <v>59839</v>
      </c>
      <c r="B1490" s="1" t="s">
        <v>4</v>
      </c>
      <c r="C1490" s="2">
        <v>43242</v>
      </c>
    </row>
    <row r="1491" spans="1:3" x14ac:dyDescent="0.3">
      <c r="A1491">
        <v>85046</v>
      </c>
      <c r="B1491" s="1" t="s">
        <v>3</v>
      </c>
      <c r="C1491" s="2">
        <v>43100</v>
      </c>
    </row>
    <row r="1492" spans="1:3" x14ac:dyDescent="0.3">
      <c r="A1492">
        <v>90107</v>
      </c>
      <c r="B1492" s="1" t="s">
        <v>3</v>
      </c>
      <c r="C1492" s="2">
        <v>43172</v>
      </c>
    </row>
    <row r="1493" spans="1:3" x14ac:dyDescent="0.3">
      <c r="A1493">
        <v>92111</v>
      </c>
      <c r="B1493" s="1" t="s">
        <v>3</v>
      </c>
      <c r="C1493" s="2">
        <v>43150</v>
      </c>
    </row>
    <row r="1494" spans="1:3" x14ac:dyDescent="0.3">
      <c r="A1494">
        <v>84843</v>
      </c>
      <c r="B1494" s="1" t="s">
        <v>4</v>
      </c>
      <c r="C1494" s="2">
        <v>43196</v>
      </c>
    </row>
    <row r="1495" spans="1:3" x14ac:dyDescent="0.3">
      <c r="A1495">
        <v>63715</v>
      </c>
      <c r="B1495" s="1" t="s">
        <v>4</v>
      </c>
      <c r="C1495" s="2">
        <v>43280</v>
      </c>
    </row>
    <row r="1496" spans="1:3" x14ac:dyDescent="0.3">
      <c r="A1496">
        <v>93361</v>
      </c>
      <c r="B1496" s="1" t="s">
        <v>3</v>
      </c>
      <c r="C1496" s="2">
        <v>43143</v>
      </c>
    </row>
    <row r="1497" spans="1:3" x14ac:dyDescent="0.3">
      <c r="A1497">
        <v>73814</v>
      </c>
      <c r="B1497" s="1" t="s">
        <v>3</v>
      </c>
      <c r="C1497" s="2">
        <v>43142</v>
      </c>
    </row>
    <row r="1498" spans="1:3" x14ac:dyDescent="0.3">
      <c r="A1498">
        <v>53077</v>
      </c>
      <c r="B1498" s="1" t="s">
        <v>3</v>
      </c>
      <c r="C1498" s="2">
        <v>43152</v>
      </c>
    </row>
    <row r="1499" spans="1:3" x14ac:dyDescent="0.3">
      <c r="A1499">
        <v>88707</v>
      </c>
      <c r="B1499" s="1" t="s">
        <v>3</v>
      </c>
      <c r="C1499" s="2">
        <v>43263</v>
      </c>
    </row>
    <row r="1500" spans="1:3" x14ac:dyDescent="0.3">
      <c r="A1500">
        <v>88282</v>
      </c>
      <c r="B1500" s="1" t="s">
        <v>4</v>
      </c>
      <c r="C1500" s="2">
        <v>43278</v>
      </c>
    </row>
    <row r="1501" spans="1:3" x14ac:dyDescent="0.3">
      <c r="A1501">
        <v>12850</v>
      </c>
      <c r="B1501" s="1" t="s">
        <v>3</v>
      </c>
      <c r="C1501" s="2">
        <v>43177</v>
      </c>
    </row>
    <row r="1502" spans="1:3" x14ac:dyDescent="0.3">
      <c r="A1502">
        <v>94631</v>
      </c>
      <c r="B1502" s="1" t="s">
        <v>4</v>
      </c>
      <c r="C1502" s="2">
        <v>43155</v>
      </c>
    </row>
    <row r="1503" spans="1:3" x14ac:dyDescent="0.3">
      <c r="A1503">
        <v>64303</v>
      </c>
      <c r="B1503" s="1" t="s">
        <v>4</v>
      </c>
      <c r="C1503" s="2">
        <v>43248</v>
      </c>
    </row>
    <row r="1504" spans="1:3" x14ac:dyDescent="0.3">
      <c r="A1504">
        <v>89776</v>
      </c>
      <c r="B1504" s="1" t="s">
        <v>3</v>
      </c>
      <c r="C1504" s="2">
        <v>43151</v>
      </c>
    </row>
    <row r="1505" spans="1:3" x14ac:dyDescent="0.3">
      <c r="A1505">
        <v>62533</v>
      </c>
      <c r="B1505" s="1" t="s">
        <v>4</v>
      </c>
      <c r="C1505" s="2">
        <v>43220</v>
      </c>
    </row>
    <row r="1506" spans="1:3" x14ac:dyDescent="0.3">
      <c r="A1506">
        <v>97957</v>
      </c>
      <c r="B1506" s="1" t="s">
        <v>3</v>
      </c>
      <c r="C1506" s="2">
        <v>43261</v>
      </c>
    </row>
    <row r="1507" spans="1:3" x14ac:dyDescent="0.3">
      <c r="A1507">
        <v>51946</v>
      </c>
      <c r="B1507" s="1" t="s">
        <v>4</v>
      </c>
      <c r="C1507" s="2">
        <v>43103</v>
      </c>
    </row>
    <row r="1508" spans="1:3" x14ac:dyDescent="0.3">
      <c r="A1508">
        <v>87256</v>
      </c>
      <c r="B1508" s="1" t="s">
        <v>4</v>
      </c>
      <c r="C1508" s="2">
        <v>43281</v>
      </c>
    </row>
    <row r="1509" spans="1:3" x14ac:dyDescent="0.3">
      <c r="A1509">
        <v>60569</v>
      </c>
      <c r="B1509" s="1" t="s">
        <v>3</v>
      </c>
      <c r="C1509" s="2">
        <v>43245</v>
      </c>
    </row>
    <row r="1510" spans="1:3" x14ac:dyDescent="0.3">
      <c r="A1510">
        <v>35233</v>
      </c>
      <c r="B1510" s="1" t="s">
        <v>3</v>
      </c>
      <c r="C1510" s="2">
        <v>43191</v>
      </c>
    </row>
    <row r="1511" spans="1:3" x14ac:dyDescent="0.3">
      <c r="A1511">
        <v>36590</v>
      </c>
      <c r="B1511" s="1" t="s">
        <v>3</v>
      </c>
      <c r="C1511" s="2">
        <v>43194</v>
      </c>
    </row>
    <row r="1512" spans="1:3" x14ac:dyDescent="0.3">
      <c r="A1512">
        <v>75170</v>
      </c>
      <c r="B1512" s="1" t="s">
        <v>3</v>
      </c>
      <c r="C1512" s="2">
        <v>43257</v>
      </c>
    </row>
    <row r="1513" spans="1:3" x14ac:dyDescent="0.3">
      <c r="A1513">
        <v>65882</v>
      </c>
      <c r="B1513" s="1" t="s">
        <v>3</v>
      </c>
      <c r="C1513" s="2">
        <v>43124</v>
      </c>
    </row>
    <row r="1514" spans="1:3" x14ac:dyDescent="0.3">
      <c r="A1514">
        <v>47843</v>
      </c>
      <c r="B1514" s="1" t="s">
        <v>4</v>
      </c>
      <c r="C1514" s="2">
        <v>43229</v>
      </c>
    </row>
    <row r="1515" spans="1:3" x14ac:dyDescent="0.3">
      <c r="A1515">
        <v>92808</v>
      </c>
      <c r="B1515" s="1" t="s">
        <v>3</v>
      </c>
      <c r="C1515" s="2">
        <v>43085</v>
      </c>
    </row>
    <row r="1516" spans="1:3" x14ac:dyDescent="0.3">
      <c r="A1516">
        <v>51592</v>
      </c>
      <c r="B1516" s="1" t="s">
        <v>3</v>
      </c>
      <c r="C1516" s="2">
        <v>43090</v>
      </c>
    </row>
    <row r="1517" spans="1:3" x14ac:dyDescent="0.3">
      <c r="A1517">
        <v>53609</v>
      </c>
      <c r="B1517" s="1" t="s">
        <v>3</v>
      </c>
      <c r="C1517" s="2">
        <v>43156</v>
      </c>
    </row>
    <row r="1518" spans="1:3" x14ac:dyDescent="0.3">
      <c r="A1518">
        <v>21828</v>
      </c>
      <c r="B1518" s="1" t="s">
        <v>3</v>
      </c>
      <c r="C1518" s="2">
        <v>43248</v>
      </c>
    </row>
    <row r="1519" spans="1:3" x14ac:dyDescent="0.3">
      <c r="A1519">
        <v>71086</v>
      </c>
      <c r="B1519" s="1" t="s">
        <v>4</v>
      </c>
      <c r="C1519" s="2">
        <v>43218</v>
      </c>
    </row>
    <row r="1520" spans="1:3" x14ac:dyDescent="0.3">
      <c r="A1520">
        <v>67160</v>
      </c>
      <c r="B1520" s="1" t="s">
        <v>3</v>
      </c>
      <c r="C1520" s="2">
        <v>43150</v>
      </c>
    </row>
    <row r="1521" spans="1:3" x14ac:dyDescent="0.3">
      <c r="A1521">
        <v>5989</v>
      </c>
      <c r="B1521" s="1" t="s">
        <v>3</v>
      </c>
      <c r="C1521" s="2">
        <v>43213</v>
      </c>
    </row>
    <row r="1522" spans="1:3" x14ac:dyDescent="0.3">
      <c r="A1522">
        <v>22035</v>
      </c>
      <c r="B1522" s="1" t="s">
        <v>3</v>
      </c>
      <c r="C1522" s="2">
        <v>43110</v>
      </c>
    </row>
    <row r="1523" spans="1:3" x14ac:dyDescent="0.3">
      <c r="A1523">
        <v>73212</v>
      </c>
      <c r="B1523" s="1" t="s">
        <v>3</v>
      </c>
      <c r="C1523" s="2">
        <v>43197</v>
      </c>
    </row>
    <row r="1524" spans="1:3" x14ac:dyDescent="0.3">
      <c r="A1524">
        <v>79599</v>
      </c>
      <c r="B1524" s="1" t="s">
        <v>3</v>
      </c>
      <c r="C1524" s="2">
        <v>43196</v>
      </c>
    </row>
    <row r="1525" spans="1:3" x14ac:dyDescent="0.3">
      <c r="A1525">
        <v>25577</v>
      </c>
      <c r="B1525" s="1" t="s">
        <v>3</v>
      </c>
      <c r="C1525" s="2">
        <v>43274</v>
      </c>
    </row>
    <row r="1526" spans="1:3" x14ac:dyDescent="0.3">
      <c r="A1526">
        <v>73624</v>
      </c>
      <c r="B1526" s="1" t="s">
        <v>3</v>
      </c>
      <c r="C1526" s="2">
        <v>43083</v>
      </c>
    </row>
    <row r="1527" spans="1:3" x14ac:dyDescent="0.3">
      <c r="A1527">
        <v>82800</v>
      </c>
      <c r="B1527" s="1" t="s">
        <v>3</v>
      </c>
      <c r="C1527" s="2">
        <v>43150</v>
      </c>
    </row>
    <row r="1528" spans="1:3" x14ac:dyDescent="0.3">
      <c r="A1528">
        <v>32783</v>
      </c>
      <c r="B1528" s="1" t="s">
        <v>3</v>
      </c>
      <c r="C1528" s="2">
        <v>43177</v>
      </c>
    </row>
    <row r="1529" spans="1:3" x14ac:dyDescent="0.3">
      <c r="A1529">
        <v>8429</v>
      </c>
      <c r="B1529" s="1" t="s">
        <v>3</v>
      </c>
      <c r="C1529" s="2">
        <v>43168</v>
      </c>
    </row>
    <row r="1530" spans="1:3" x14ac:dyDescent="0.3">
      <c r="A1530">
        <v>67422</v>
      </c>
      <c r="B1530" s="1" t="s">
        <v>3</v>
      </c>
      <c r="C1530" s="2">
        <v>43267</v>
      </c>
    </row>
    <row r="1531" spans="1:3" x14ac:dyDescent="0.3">
      <c r="A1531">
        <v>38061</v>
      </c>
      <c r="B1531" s="1" t="s">
        <v>4</v>
      </c>
      <c r="C1531" s="2">
        <v>43250</v>
      </c>
    </row>
    <row r="1532" spans="1:3" x14ac:dyDescent="0.3">
      <c r="A1532">
        <v>57268</v>
      </c>
      <c r="B1532" s="1" t="s">
        <v>4</v>
      </c>
      <c r="C1532" s="2">
        <v>43098</v>
      </c>
    </row>
    <row r="1533" spans="1:3" x14ac:dyDescent="0.3">
      <c r="A1533">
        <v>64752</v>
      </c>
      <c r="B1533" s="1" t="s">
        <v>3</v>
      </c>
      <c r="C1533" s="2">
        <v>43229</v>
      </c>
    </row>
    <row r="1534" spans="1:3" x14ac:dyDescent="0.3">
      <c r="A1534">
        <v>67161</v>
      </c>
      <c r="B1534" s="1" t="s">
        <v>4</v>
      </c>
      <c r="C1534" s="2">
        <v>43248</v>
      </c>
    </row>
    <row r="1535" spans="1:3" x14ac:dyDescent="0.3">
      <c r="A1535">
        <v>63411</v>
      </c>
      <c r="B1535" s="1" t="s">
        <v>4</v>
      </c>
      <c r="C1535" s="2">
        <v>43253</v>
      </c>
    </row>
    <row r="1536" spans="1:3" x14ac:dyDescent="0.3">
      <c r="A1536">
        <v>9306</v>
      </c>
      <c r="B1536" s="1" t="s">
        <v>3</v>
      </c>
      <c r="C1536" s="2">
        <v>43269</v>
      </c>
    </row>
    <row r="1537" spans="1:3" x14ac:dyDescent="0.3">
      <c r="A1537">
        <v>32759</v>
      </c>
      <c r="B1537" s="1" t="s">
        <v>4</v>
      </c>
      <c r="C1537" s="2">
        <v>43261</v>
      </c>
    </row>
    <row r="1538" spans="1:3" x14ac:dyDescent="0.3">
      <c r="A1538">
        <v>68267</v>
      </c>
      <c r="B1538" s="1" t="s">
        <v>4</v>
      </c>
      <c r="C1538" s="2">
        <v>43203</v>
      </c>
    </row>
    <row r="1539" spans="1:3" x14ac:dyDescent="0.3">
      <c r="A1539">
        <v>49558</v>
      </c>
      <c r="B1539" s="1" t="s">
        <v>4</v>
      </c>
      <c r="C1539" s="2">
        <v>43281</v>
      </c>
    </row>
    <row r="1540" spans="1:3" x14ac:dyDescent="0.3">
      <c r="A1540">
        <v>45859</v>
      </c>
      <c r="B1540" s="1" t="s">
        <v>4</v>
      </c>
      <c r="C1540" s="2">
        <v>43263</v>
      </c>
    </row>
    <row r="1541" spans="1:3" x14ac:dyDescent="0.3">
      <c r="A1541">
        <v>35481</v>
      </c>
      <c r="B1541" s="1" t="s">
        <v>3</v>
      </c>
      <c r="C1541" s="2">
        <v>43232</v>
      </c>
    </row>
    <row r="1542" spans="1:3" x14ac:dyDescent="0.3">
      <c r="A1542">
        <v>61929</v>
      </c>
      <c r="B1542" s="1" t="s">
        <v>3</v>
      </c>
      <c r="C1542" s="2">
        <v>43163</v>
      </c>
    </row>
    <row r="1543" spans="1:3" x14ac:dyDescent="0.3">
      <c r="A1543">
        <v>35924</v>
      </c>
      <c r="B1543" s="1" t="s">
        <v>3</v>
      </c>
      <c r="C1543" s="2">
        <v>43121</v>
      </c>
    </row>
    <row r="1544" spans="1:3" x14ac:dyDescent="0.3">
      <c r="A1544">
        <v>12394</v>
      </c>
      <c r="B1544" s="1" t="s">
        <v>3</v>
      </c>
      <c r="C1544" s="2">
        <v>43207</v>
      </c>
    </row>
    <row r="1545" spans="1:3" x14ac:dyDescent="0.3">
      <c r="A1545">
        <v>55362</v>
      </c>
      <c r="B1545" s="1" t="s">
        <v>3</v>
      </c>
      <c r="C1545" s="2">
        <v>43107</v>
      </c>
    </row>
    <row r="1546" spans="1:3" x14ac:dyDescent="0.3">
      <c r="A1546">
        <v>30850</v>
      </c>
      <c r="B1546" s="1" t="s">
        <v>3</v>
      </c>
      <c r="C1546" s="2">
        <v>43222</v>
      </c>
    </row>
    <row r="1547" spans="1:3" x14ac:dyDescent="0.3">
      <c r="A1547">
        <v>81052</v>
      </c>
      <c r="B1547" s="1" t="s">
        <v>4</v>
      </c>
      <c r="C1547" s="2">
        <v>43178</v>
      </c>
    </row>
    <row r="1548" spans="1:3" x14ac:dyDescent="0.3">
      <c r="A1548">
        <v>89477</v>
      </c>
      <c r="B1548" s="1" t="s">
        <v>4</v>
      </c>
      <c r="C1548" s="2">
        <v>43264</v>
      </c>
    </row>
    <row r="1549" spans="1:3" x14ac:dyDescent="0.3">
      <c r="A1549">
        <v>35030</v>
      </c>
      <c r="B1549" s="1" t="s">
        <v>4</v>
      </c>
      <c r="C1549" s="2">
        <v>43132</v>
      </c>
    </row>
    <row r="1550" spans="1:3" x14ac:dyDescent="0.3">
      <c r="A1550">
        <v>17530</v>
      </c>
      <c r="B1550" s="1" t="s">
        <v>3</v>
      </c>
      <c r="C1550" s="2">
        <v>43099</v>
      </c>
    </row>
    <row r="1551" spans="1:3" x14ac:dyDescent="0.3">
      <c r="A1551">
        <v>62675</v>
      </c>
      <c r="B1551" s="1" t="s">
        <v>3</v>
      </c>
      <c r="C1551" s="2">
        <v>43264</v>
      </c>
    </row>
    <row r="1552" spans="1:3" x14ac:dyDescent="0.3">
      <c r="A1552">
        <v>69872</v>
      </c>
      <c r="B1552" s="1" t="s">
        <v>4</v>
      </c>
      <c r="C1552" s="2">
        <v>43280</v>
      </c>
    </row>
    <row r="1553" spans="1:3" x14ac:dyDescent="0.3">
      <c r="A1553">
        <v>65190</v>
      </c>
      <c r="B1553" s="1" t="s">
        <v>4</v>
      </c>
      <c r="C1553" s="2">
        <v>43267</v>
      </c>
    </row>
    <row r="1554" spans="1:3" x14ac:dyDescent="0.3">
      <c r="A1554">
        <v>4154</v>
      </c>
      <c r="B1554" s="1" t="s">
        <v>3</v>
      </c>
      <c r="C1554" s="2">
        <v>43123</v>
      </c>
    </row>
    <row r="1555" spans="1:3" x14ac:dyDescent="0.3">
      <c r="A1555">
        <v>69773</v>
      </c>
      <c r="B1555" s="1" t="s">
        <v>4</v>
      </c>
      <c r="C1555" s="2">
        <v>43278</v>
      </c>
    </row>
    <row r="1556" spans="1:3" x14ac:dyDescent="0.3">
      <c r="A1556">
        <v>61368</v>
      </c>
      <c r="B1556" s="1" t="s">
        <v>4</v>
      </c>
      <c r="C1556" s="2">
        <v>43130</v>
      </c>
    </row>
    <row r="1557" spans="1:3" x14ac:dyDescent="0.3">
      <c r="A1557">
        <v>56017</v>
      </c>
      <c r="B1557" s="1" t="s">
        <v>4</v>
      </c>
      <c r="C1557" s="2">
        <v>43089</v>
      </c>
    </row>
    <row r="1558" spans="1:3" x14ac:dyDescent="0.3">
      <c r="A1558">
        <v>61355</v>
      </c>
      <c r="B1558" s="1" t="s">
        <v>3</v>
      </c>
      <c r="C1558" s="2">
        <v>43248</v>
      </c>
    </row>
    <row r="1559" spans="1:3" x14ac:dyDescent="0.3">
      <c r="A1559">
        <v>25571</v>
      </c>
      <c r="B1559" s="1" t="s">
        <v>3</v>
      </c>
      <c r="C1559" s="2">
        <v>43109</v>
      </c>
    </row>
    <row r="1560" spans="1:3" x14ac:dyDescent="0.3">
      <c r="A1560">
        <v>52050</v>
      </c>
      <c r="B1560" s="1" t="s">
        <v>4</v>
      </c>
      <c r="C1560" s="2">
        <v>43243</v>
      </c>
    </row>
    <row r="1561" spans="1:3" x14ac:dyDescent="0.3">
      <c r="A1561">
        <v>83599</v>
      </c>
      <c r="B1561" s="1" t="s">
        <v>3</v>
      </c>
      <c r="C1561" s="2">
        <v>43090</v>
      </c>
    </row>
    <row r="1562" spans="1:3" x14ac:dyDescent="0.3">
      <c r="A1562">
        <v>34679</v>
      </c>
      <c r="B1562" s="1" t="s">
        <v>4</v>
      </c>
      <c r="C1562" s="2">
        <v>43090</v>
      </c>
    </row>
    <row r="1563" spans="1:3" x14ac:dyDescent="0.3">
      <c r="A1563">
        <v>53684</v>
      </c>
      <c r="B1563" s="1" t="s">
        <v>3</v>
      </c>
      <c r="C1563" s="2">
        <v>43134</v>
      </c>
    </row>
    <row r="1564" spans="1:3" x14ac:dyDescent="0.3">
      <c r="A1564">
        <v>59273</v>
      </c>
      <c r="B1564" s="1" t="s">
        <v>4</v>
      </c>
      <c r="C1564" s="2">
        <v>43194</v>
      </c>
    </row>
    <row r="1565" spans="1:3" x14ac:dyDescent="0.3">
      <c r="A1565">
        <v>16068</v>
      </c>
      <c r="B1565" s="1" t="s">
        <v>3</v>
      </c>
      <c r="C1565" s="2">
        <v>43142</v>
      </c>
    </row>
    <row r="1566" spans="1:3" x14ac:dyDescent="0.3">
      <c r="A1566">
        <v>71806</v>
      </c>
      <c r="B1566" s="1" t="s">
        <v>3</v>
      </c>
      <c r="C1566" s="2">
        <v>43172</v>
      </c>
    </row>
    <row r="1567" spans="1:3" x14ac:dyDescent="0.3">
      <c r="A1567">
        <v>20232</v>
      </c>
      <c r="B1567" s="1" t="s">
        <v>3</v>
      </c>
      <c r="C1567" s="2">
        <v>43084</v>
      </c>
    </row>
    <row r="1568" spans="1:3" x14ac:dyDescent="0.3">
      <c r="A1568">
        <v>62191</v>
      </c>
      <c r="B1568" s="1" t="s">
        <v>4</v>
      </c>
      <c r="C1568" s="2">
        <v>43138</v>
      </c>
    </row>
    <row r="1569" spans="1:3" x14ac:dyDescent="0.3">
      <c r="A1569">
        <v>29750</v>
      </c>
      <c r="B1569" s="1" t="s">
        <v>3</v>
      </c>
      <c r="C1569" s="2">
        <v>43194</v>
      </c>
    </row>
    <row r="1570" spans="1:3" x14ac:dyDescent="0.3">
      <c r="A1570">
        <v>90653</v>
      </c>
      <c r="B1570" s="1" t="s">
        <v>3</v>
      </c>
      <c r="C1570" s="2">
        <v>43092</v>
      </c>
    </row>
    <row r="1571" spans="1:3" x14ac:dyDescent="0.3">
      <c r="A1571">
        <v>34317</v>
      </c>
      <c r="B1571" s="1" t="s">
        <v>4</v>
      </c>
      <c r="C1571" s="2">
        <v>43237</v>
      </c>
    </row>
    <row r="1572" spans="1:3" x14ac:dyDescent="0.3">
      <c r="A1572">
        <v>61172</v>
      </c>
      <c r="B1572" s="1" t="s">
        <v>3</v>
      </c>
      <c r="C1572" s="2">
        <v>43099</v>
      </c>
    </row>
    <row r="1573" spans="1:3" x14ac:dyDescent="0.3">
      <c r="A1573">
        <v>94706</v>
      </c>
      <c r="B1573" s="1" t="s">
        <v>4</v>
      </c>
      <c r="C1573" s="2">
        <v>43148</v>
      </c>
    </row>
    <row r="1574" spans="1:3" x14ac:dyDescent="0.3">
      <c r="A1574">
        <v>81026</v>
      </c>
      <c r="B1574" s="1" t="s">
        <v>3</v>
      </c>
      <c r="C1574" s="2">
        <v>43238</v>
      </c>
    </row>
    <row r="1575" spans="1:3" x14ac:dyDescent="0.3">
      <c r="A1575">
        <v>68122</v>
      </c>
      <c r="B1575" s="1" t="s">
        <v>4</v>
      </c>
      <c r="C1575" s="2">
        <v>43275</v>
      </c>
    </row>
    <row r="1576" spans="1:3" x14ac:dyDescent="0.3">
      <c r="A1576">
        <v>54854</v>
      </c>
      <c r="B1576" s="1" t="s">
        <v>4</v>
      </c>
      <c r="C1576" s="2">
        <v>43281</v>
      </c>
    </row>
    <row r="1577" spans="1:3" x14ac:dyDescent="0.3">
      <c r="A1577">
        <v>24084</v>
      </c>
      <c r="B1577" s="1" t="s">
        <v>3</v>
      </c>
      <c r="C1577" s="2">
        <v>43281</v>
      </c>
    </row>
    <row r="1578" spans="1:3" x14ac:dyDescent="0.3">
      <c r="A1578">
        <v>76257</v>
      </c>
      <c r="B1578" s="1" t="s">
        <v>3</v>
      </c>
      <c r="C1578" s="2">
        <v>43084</v>
      </c>
    </row>
    <row r="1579" spans="1:3" x14ac:dyDescent="0.3">
      <c r="A1579">
        <v>67259</v>
      </c>
      <c r="B1579" s="1" t="s">
        <v>4</v>
      </c>
      <c r="C1579" s="2">
        <v>43082</v>
      </c>
    </row>
    <row r="1580" spans="1:3" x14ac:dyDescent="0.3">
      <c r="A1580">
        <v>55718</v>
      </c>
      <c r="B1580" s="1" t="s">
        <v>3</v>
      </c>
      <c r="C1580" s="2">
        <v>43246</v>
      </c>
    </row>
    <row r="1581" spans="1:3" x14ac:dyDescent="0.3">
      <c r="A1581">
        <v>97931</v>
      </c>
      <c r="B1581" s="1" t="s">
        <v>4</v>
      </c>
      <c r="C1581" s="2">
        <v>43156</v>
      </c>
    </row>
    <row r="1582" spans="1:3" x14ac:dyDescent="0.3">
      <c r="A1582">
        <v>45573</v>
      </c>
      <c r="B1582" s="1" t="s">
        <v>4</v>
      </c>
      <c r="C1582" s="2">
        <v>43141</v>
      </c>
    </row>
    <row r="1583" spans="1:3" x14ac:dyDescent="0.3">
      <c r="A1583">
        <v>54070</v>
      </c>
      <c r="B1583" s="1" t="s">
        <v>4</v>
      </c>
      <c r="C1583" s="2">
        <v>43086</v>
      </c>
    </row>
    <row r="1584" spans="1:3" x14ac:dyDescent="0.3">
      <c r="A1584">
        <v>98924</v>
      </c>
      <c r="B1584" s="1" t="s">
        <v>4</v>
      </c>
      <c r="C1584" s="2">
        <v>43196</v>
      </c>
    </row>
    <row r="1585" spans="1:3" x14ac:dyDescent="0.3">
      <c r="A1585">
        <v>7128</v>
      </c>
      <c r="B1585" s="1" t="s">
        <v>3</v>
      </c>
      <c r="C1585" s="2">
        <v>43143</v>
      </c>
    </row>
    <row r="1586" spans="1:3" x14ac:dyDescent="0.3">
      <c r="A1586">
        <v>73965</v>
      </c>
      <c r="B1586" s="1" t="s">
        <v>3</v>
      </c>
      <c r="C1586" s="2">
        <v>43225</v>
      </c>
    </row>
    <row r="1587" spans="1:3" x14ac:dyDescent="0.3">
      <c r="A1587">
        <v>81938</v>
      </c>
      <c r="B1587" s="1" t="s">
        <v>4</v>
      </c>
      <c r="C1587" s="2">
        <v>43247</v>
      </c>
    </row>
    <row r="1588" spans="1:3" x14ac:dyDescent="0.3">
      <c r="A1588">
        <v>99963</v>
      </c>
      <c r="B1588" s="1" t="s">
        <v>4</v>
      </c>
      <c r="C1588" s="2">
        <v>43271</v>
      </c>
    </row>
    <row r="1589" spans="1:3" x14ac:dyDescent="0.3">
      <c r="A1589">
        <v>34216</v>
      </c>
      <c r="B1589" s="1" t="s">
        <v>3</v>
      </c>
      <c r="C1589" s="2">
        <v>43253</v>
      </c>
    </row>
    <row r="1590" spans="1:3" x14ac:dyDescent="0.3">
      <c r="A1590">
        <v>73449</v>
      </c>
      <c r="B1590" s="1" t="s">
        <v>3</v>
      </c>
      <c r="C1590" s="2">
        <v>43095</v>
      </c>
    </row>
    <row r="1591" spans="1:3" x14ac:dyDescent="0.3">
      <c r="A1591">
        <v>64647</v>
      </c>
      <c r="B1591" s="1" t="s">
        <v>3</v>
      </c>
      <c r="C1591" s="2">
        <v>43218</v>
      </c>
    </row>
    <row r="1592" spans="1:3" x14ac:dyDescent="0.3">
      <c r="A1592">
        <v>27559</v>
      </c>
      <c r="B1592" s="1" t="s">
        <v>3</v>
      </c>
      <c r="C1592" s="2">
        <v>43200</v>
      </c>
    </row>
    <row r="1593" spans="1:3" x14ac:dyDescent="0.3">
      <c r="A1593">
        <v>73329</v>
      </c>
      <c r="B1593" s="1" t="s">
        <v>4</v>
      </c>
      <c r="C1593" s="2">
        <v>43147</v>
      </c>
    </row>
    <row r="1594" spans="1:3" x14ac:dyDescent="0.3">
      <c r="A1594">
        <v>71654</v>
      </c>
      <c r="B1594" s="1" t="s">
        <v>3</v>
      </c>
      <c r="C1594" s="2">
        <v>43088</v>
      </c>
    </row>
    <row r="1595" spans="1:3" x14ac:dyDescent="0.3">
      <c r="A1595">
        <v>37647</v>
      </c>
      <c r="B1595" s="1" t="s">
        <v>4</v>
      </c>
      <c r="C1595" s="2">
        <v>43153</v>
      </c>
    </row>
    <row r="1596" spans="1:3" x14ac:dyDescent="0.3">
      <c r="A1596">
        <v>78649</v>
      </c>
      <c r="B1596" s="1" t="s">
        <v>4</v>
      </c>
      <c r="C1596" s="2">
        <v>43206</v>
      </c>
    </row>
    <row r="1597" spans="1:3" x14ac:dyDescent="0.3">
      <c r="A1597">
        <v>58935</v>
      </c>
      <c r="B1597" s="1" t="s">
        <v>4</v>
      </c>
      <c r="C1597" s="2">
        <v>43083</v>
      </c>
    </row>
    <row r="1598" spans="1:3" x14ac:dyDescent="0.3">
      <c r="A1598">
        <v>35107</v>
      </c>
      <c r="B1598" s="1" t="s">
        <v>3</v>
      </c>
      <c r="C1598" s="2">
        <v>43179</v>
      </c>
    </row>
    <row r="1599" spans="1:3" x14ac:dyDescent="0.3">
      <c r="A1599">
        <v>68167</v>
      </c>
      <c r="B1599" s="1" t="s">
        <v>4</v>
      </c>
      <c r="C1599" s="2">
        <v>43144</v>
      </c>
    </row>
    <row r="1600" spans="1:3" x14ac:dyDescent="0.3">
      <c r="A1600">
        <v>58077</v>
      </c>
      <c r="B1600" s="1" t="s">
        <v>3</v>
      </c>
      <c r="C1600" s="2">
        <v>43180</v>
      </c>
    </row>
    <row r="1601" spans="1:3" x14ac:dyDescent="0.3">
      <c r="A1601">
        <v>79622</v>
      </c>
      <c r="B1601" s="1" t="s">
        <v>4</v>
      </c>
      <c r="C1601" s="2">
        <v>43131</v>
      </c>
    </row>
    <row r="1602" spans="1:3" x14ac:dyDescent="0.3">
      <c r="A1602">
        <v>11647</v>
      </c>
      <c r="B1602" s="1" t="s">
        <v>3</v>
      </c>
      <c r="C1602" s="2">
        <v>43239</v>
      </c>
    </row>
    <row r="1603" spans="1:3" x14ac:dyDescent="0.3">
      <c r="A1603">
        <v>61443</v>
      </c>
      <c r="B1603" s="1" t="s">
        <v>3</v>
      </c>
      <c r="C1603" s="2">
        <v>43118</v>
      </c>
    </row>
    <row r="1604" spans="1:3" x14ac:dyDescent="0.3">
      <c r="A1604">
        <v>67746</v>
      </c>
      <c r="B1604" s="1" t="s">
        <v>4</v>
      </c>
      <c r="C1604" s="2">
        <v>43109</v>
      </c>
    </row>
    <row r="1605" spans="1:3" x14ac:dyDescent="0.3">
      <c r="A1605">
        <v>36319</v>
      </c>
      <c r="B1605" s="1" t="s">
        <v>4</v>
      </c>
      <c r="C1605" s="2">
        <v>43271</v>
      </c>
    </row>
    <row r="1606" spans="1:3" x14ac:dyDescent="0.3">
      <c r="A1606">
        <v>67466</v>
      </c>
      <c r="B1606" s="1" t="s">
        <v>3</v>
      </c>
      <c r="C1606" s="2">
        <v>43132</v>
      </c>
    </row>
    <row r="1607" spans="1:3" x14ac:dyDescent="0.3">
      <c r="A1607">
        <v>48587</v>
      </c>
      <c r="B1607" s="1" t="s">
        <v>3</v>
      </c>
      <c r="C1607" s="2">
        <v>43275</v>
      </c>
    </row>
    <row r="1608" spans="1:3" x14ac:dyDescent="0.3">
      <c r="A1608">
        <v>24118</v>
      </c>
      <c r="B1608" s="1" t="s">
        <v>3</v>
      </c>
      <c r="C1608" s="2">
        <v>43209</v>
      </c>
    </row>
    <row r="1609" spans="1:3" x14ac:dyDescent="0.3">
      <c r="A1609">
        <v>67065</v>
      </c>
      <c r="B1609" s="1" t="s">
        <v>3</v>
      </c>
      <c r="C1609" s="2">
        <v>43147</v>
      </c>
    </row>
    <row r="1610" spans="1:3" x14ac:dyDescent="0.3">
      <c r="A1610">
        <v>35627</v>
      </c>
      <c r="B1610" s="1" t="s">
        <v>4</v>
      </c>
      <c r="C1610" s="2">
        <v>43269</v>
      </c>
    </row>
    <row r="1611" spans="1:3" x14ac:dyDescent="0.3">
      <c r="A1611">
        <v>57634</v>
      </c>
      <c r="B1611" s="1" t="s">
        <v>4</v>
      </c>
      <c r="C1611" s="2">
        <v>43233</v>
      </c>
    </row>
    <row r="1612" spans="1:3" x14ac:dyDescent="0.3">
      <c r="A1612">
        <v>78362</v>
      </c>
      <c r="B1612" s="1" t="s">
        <v>4</v>
      </c>
      <c r="C1612" s="2">
        <v>43134</v>
      </c>
    </row>
    <row r="1613" spans="1:3" x14ac:dyDescent="0.3">
      <c r="A1613">
        <v>46567</v>
      </c>
      <c r="B1613" s="1" t="s">
        <v>3</v>
      </c>
      <c r="C1613" s="2">
        <v>43239</v>
      </c>
    </row>
    <row r="1614" spans="1:3" x14ac:dyDescent="0.3">
      <c r="A1614">
        <v>57188</v>
      </c>
      <c r="B1614" s="1" t="s">
        <v>4</v>
      </c>
      <c r="C1614" s="2">
        <v>43087</v>
      </c>
    </row>
    <row r="1615" spans="1:3" x14ac:dyDescent="0.3">
      <c r="A1615">
        <v>10931</v>
      </c>
      <c r="B1615" s="1" t="s">
        <v>3</v>
      </c>
      <c r="C1615" s="2">
        <v>43256</v>
      </c>
    </row>
    <row r="1616" spans="1:3" x14ac:dyDescent="0.3">
      <c r="A1616">
        <v>57355</v>
      </c>
      <c r="B1616" s="1" t="s">
        <v>4</v>
      </c>
      <c r="C1616" s="2">
        <v>43131</v>
      </c>
    </row>
    <row r="1617" spans="1:3" x14ac:dyDescent="0.3">
      <c r="A1617">
        <v>50005</v>
      </c>
      <c r="B1617" s="1" t="s">
        <v>4</v>
      </c>
      <c r="C1617" s="2">
        <v>43088</v>
      </c>
    </row>
    <row r="1618" spans="1:3" x14ac:dyDescent="0.3">
      <c r="A1618">
        <v>91054</v>
      </c>
      <c r="B1618" s="1" t="s">
        <v>4</v>
      </c>
      <c r="C1618" s="2">
        <v>43236</v>
      </c>
    </row>
    <row r="1619" spans="1:3" x14ac:dyDescent="0.3">
      <c r="A1619">
        <v>17070</v>
      </c>
      <c r="B1619" s="1" t="s">
        <v>3</v>
      </c>
      <c r="C1619" s="2">
        <v>43247</v>
      </c>
    </row>
    <row r="1620" spans="1:3" x14ac:dyDescent="0.3">
      <c r="A1620">
        <v>24286</v>
      </c>
      <c r="B1620" s="1" t="s">
        <v>3</v>
      </c>
      <c r="C1620" s="2">
        <v>43127</v>
      </c>
    </row>
    <row r="1621" spans="1:3" x14ac:dyDescent="0.3">
      <c r="A1621">
        <v>61027</v>
      </c>
      <c r="B1621" s="1" t="s">
        <v>3</v>
      </c>
      <c r="C1621" s="2">
        <v>43128</v>
      </c>
    </row>
    <row r="1622" spans="1:3" x14ac:dyDescent="0.3">
      <c r="A1622">
        <v>85563</v>
      </c>
      <c r="B1622" s="1" t="s">
        <v>4</v>
      </c>
      <c r="C1622" s="2">
        <v>43192</v>
      </c>
    </row>
    <row r="1623" spans="1:3" x14ac:dyDescent="0.3">
      <c r="A1623">
        <v>6553</v>
      </c>
      <c r="B1623" s="1" t="s">
        <v>3</v>
      </c>
      <c r="C1623" s="2">
        <v>43116</v>
      </c>
    </row>
    <row r="1624" spans="1:3" x14ac:dyDescent="0.3">
      <c r="A1624">
        <v>29310</v>
      </c>
      <c r="B1624" s="1" t="s">
        <v>3</v>
      </c>
      <c r="C1624" s="2">
        <v>43267</v>
      </c>
    </row>
    <row r="1625" spans="1:3" x14ac:dyDescent="0.3">
      <c r="A1625">
        <v>70667</v>
      </c>
      <c r="B1625" s="1" t="s">
        <v>4</v>
      </c>
      <c r="C1625" s="2">
        <v>43237</v>
      </c>
    </row>
    <row r="1626" spans="1:3" x14ac:dyDescent="0.3">
      <c r="A1626">
        <v>83833</v>
      </c>
      <c r="B1626" s="1" t="s">
        <v>4</v>
      </c>
      <c r="C1626" s="2">
        <v>43282</v>
      </c>
    </row>
    <row r="1627" spans="1:3" x14ac:dyDescent="0.3">
      <c r="A1627">
        <v>89033</v>
      </c>
      <c r="B1627" s="1" t="s">
        <v>4</v>
      </c>
      <c r="C1627" s="2">
        <v>43142</v>
      </c>
    </row>
    <row r="1628" spans="1:3" x14ac:dyDescent="0.3">
      <c r="A1628">
        <v>30646</v>
      </c>
      <c r="B1628" s="1" t="s">
        <v>4</v>
      </c>
      <c r="C1628" s="2">
        <v>43250</v>
      </c>
    </row>
    <row r="1629" spans="1:3" x14ac:dyDescent="0.3">
      <c r="A1629">
        <v>43809</v>
      </c>
      <c r="B1629" s="1" t="s">
        <v>4</v>
      </c>
      <c r="C1629" s="2">
        <v>43199</v>
      </c>
    </row>
    <row r="1630" spans="1:3" x14ac:dyDescent="0.3">
      <c r="A1630">
        <v>2768</v>
      </c>
      <c r="B1630" s="1" t="s">
        <v>3</v>
      </c>
      <c r="C1630" s="2">
        <v>43238</v>
      </c>
    </row>
    <row r="1631" spans="1:3" x14ac:dyDescent="0.3">
      <c r="A1631">
        <v>38334</v>
      </c>
      <c r="B1631" s="1" t="s">
        <v>4</v>
      </c>
      <c r="C1631" s="2">
        <v>43270</v>
      </c>
    </row>
    <row r="1632" spans="1:3" x14ac:dyDescent="0.3">
      <c r="A1632">
        <v>38623</v>
      </c>
      <c r="B1632" s="1" t="s">
        <v>4</v>
      </c>
      <c r="C1632" s="2">
        <v>43115</v>
      </c>
    </row>
    <row r="1633" spans="1:3" x14ac:dyDescent="0.3">
      <c r="A1633">
        <v>97386</v>
      </c>
      <c r="B1633" s="1" t="s">
        <v>4</v>
      </c>
      <c r="C1633" s="2">
        <v>43224</v>
      </c>
    </row>
    <row r="1634" spans="1:3" x14ac:dyDescent="0.3">
      <c r="A1634">
        <v>85562</v>
      </c>
      <c r="B1634" s="1" t="s">
        <v>4</v>
      </c>
      <c r="C1634" s="2">
        <v>43225</v>
      </c>
    </row>
    <row r="1635" spans="1:3" x14ac:dyDescent="0.3">
      <c r="A1635">
        <v>38191</v>
      </c>
      <c r="B1635" s="1" t="s">
        <v>4</v>
      </c>
      <c r="C1635" s="2">
        <v>43097</v>
      </c>
    </row>
    <row r="1636" spans="1:3" x14ac:dyDescent="0.3">
      <c r="A1636">
        <v>72561</v>
      </c>
      <c r="B1636" s="1" t="s">
        <v>4</v>
      </c>
      <c r="C1636" s="2">
        <v>43199</v>
      </c>
    </row>
    <row r="1637" spans="1:3" x14ac:dyDescent="0.3">
      <c r="A1637">
        <v>97927</v>
      </c>
      <c r="B1637" s="1" t="s">
        <v>4</v>
      </c>
      <c r="C1637" s="2">
        <v>43222</v>
      </c>
    </row>
    <row r="1638" spans="1:3" x14ac:dyDescent="0.3">
      <c r="A1638">
        <v>74768</v>
      </c>
      <c r="B1638" s="1" t="s">
        <v>4</v>
      </c>
      <c r="C1638" s="2">
        <v>43262</v>
      </c>
    </row>
    <row r="1639" spans="1:3" x14ac:dyDescent="0.3">
      <c r="A1639">
        <v>25640</v>
      </c>
      <c r="B1639" s="1" t="s">
        <v>3</v>
      </c>
      <c r="C1639" s="2">
        <v>43209</v>
      </c>
    </row>
    <row r="1640" spans="1:3" x14ac:dyDescent="0.3">
      <c r="A1640">
        <v>24527</v>
      </c>
      <c r="B1640" s="1" t="s">
        <v>3</v>
      </c>
      <c r="C1640" s="2">
        <v>43253</v>
      </c>
    </row>
    <row r="1641" spans="1:3" x14ac:dyDescent="0.3">
      <c r="A1641">
        <v>9436</v>
      </c>
      <c r="B1641" s="1" t="s">
        <v>3</v>
      </c>
      <c r="C1641" s="2">
        <v>43230</v>
      </c>
    </row>
    <row r="1642" spans="1:3" x14ac:dyDescent="0.3">
      <c r="A1642">
        <v>29854</v>
      </c>
      <c r="B1642" s="1" t="s">
        <v>3</v>
      </c>
      <c r="C1642" s="2">
        <v>43164</v>
      </c>
    </row>
    <row r="1643" spans="1:3" x14ac:dyDescent="0.3">
      <c r="A1643">
        <v>67690</v>
      </c>
      <c r="B1643" s="1" t="s">
        <v>4</v>
      </c>
      <c r="C1643" s="2">
        <v>43199</v>
      </c>
    </row>
    <row r="1644" spans="1:3" x14ac:dyDescent="0.3">
      <c r="A1644">
        <v>64373</v>
      </c>
      <c r="B1644" s="1" t="s">
        <v>4</v>
      </c>
      <c r="C1644" s="2">
        <v>43247</v>
      </c>
    </row>
    <row r="1645" spans="1:3" x14ac:dyDescent="0.3">
      <c r="A1645">
        <v>43703</v>
      </c>
      <c r="B1645" s="1" t="s">
        <v>4</v>
      </c>
      <c r="C1645" s="2">
        <v>43191</v>
      </c>
    </row>
    <row r="1646" spans="1:3" x14ac:dyDescent="0.3">
      <c r="A1646">
        <v>77804</v>
      </c>
      <c r="B1646" s="1" t="s">
        <v>4</v>
      </c>
      <c r="C1646" s="2">
        <v>43175</v>
      </c>
    </row>
    <row r="1647" spans="1:3" x14ac:dyDescent="0.3">
      <c r="A1647">
        <v>71504</v>
      </c>
      <c r="B1647" s="1" t="s">
        <v>4</v>
      </c>
      <c r="C1647" s="2">
        <v>43094</v>
      </c>
    </row>
    <row r="1648" spans="1:3" x14ac:dyDescent="0.3">
      <c r="A1648">
        <v>97309</v>
      </c>
      <c r="B1648" s="1" t="s">
        <v>3</v>
      </c>
      <c r="C1648" s="2">
        <v>43268</v>
      </c>
    </row>
    <row r="1649" spans="1:3" x14ac:dyDescent="0.3">
      <c r="A1649">
        <v>50115</v>
      </c>
      <c r="B1649" s="1" t="s">
        <v>4</v>
      </c>
      <c r="C1649" s="2">
        <v>43104</v>
      </c>
    </row>
    <row r="1650" spans="1:3" x14ac:dyDescent="0.3">
      <c r="A1650">
        <v>86552</v>
      </c>
      <c r="B1650" s="1" t="s">
        <v>4</v>
      </c>
      <c r="C1650" s="2">
        <v>43167</v>
      </c>
    </row>
    <row r="1651" spans="1:3" x14ac:dyDescent="0.3">
      <c r="A1651">
        <v>10592</v>
      </c>
      <c r="B1651" s="1" t="s">
        <v>3</v>
      </c>
      <c r="C1651" s="2">
        <v>43191</v>
      </c>
    </row>
    <row r="1652" spans="1:3" x14ac:dyDescent="0.3">
      <c r="A1652">
        <v>91281</v>
      </c>
      <c r="B1652" s="1" t="s">
        <v>4</v>
      </c>
      <c r="C1652" s="2">
        <v>43189</v>
      </c>
    </row>
    <row r="1653" spans="1:3" x14ac:dyDescent="0.3">
      <c r="A1653">
        <v>78144</v>
      </c>
      <c r="B1653" s="1" t="s">
        <v>4</v>
      </c>
      <c r="C1653" s="2">
        <v>43276</v>
      </c>
    </row>
    <row r="1654" spans="1:3" x14ac:dyDescent="0.3">
      <c r="A1654">
        <v>89946</v>
      </c>
      <c r="B1654" s="1" t="s">
        <v>3</v>
      </c>
      <c r="C1654" s="2">
        <v>43268</v>
      </c>
    </row>
    <row r="1655" spans="1:3" x14ac:dyDescent="0.3">
      <c r="A1655">
        <v>13313</v>
      </c>
      <c r="B1655" s="1" t="s">
        <v>3</v>
      </c>
      <c r="C1655" s="2">
        <v>43241</v>
      </c>
    </row>
    <row r="1656" spans="1:3" x14ac:dyDescent="0.3">
      <c r="A1656">
        <v>14515</v>
      </c>
      <c r="B1656" s="1" t="s">
        <v>3</v>
      </c>
      <c r="C1656" s="2">
        <v>43142</v>
      </c>
    </row>
    <row r="1657" spans="1:3" x14ac:dyDescent="0.3">
      <c r="A1657">
        <v>58656</v>
      </c>
      <c r="B1657" s="1" t="s">
        <v>4</v>
      </c>
      <c r="C1657" s="2">
        <v>43250</v>
      </c>
    </row>
    <row r="1658" spans="1:3" x14ac:dyDescent="0.3">
      <c r="A1658">
        <v>91300</v>
      </c>
      <c r="B1658" s="1" t="s">
        <v>4</v>
      </c>
      <c r="C1658" s="2">
        <v>43185</v>
      </c>
    </row>
    <row r="1659" spans="1:3" x14ac:dyDescent="0.3">
      <c r="A1659">
        <v>63884</v>
      </c>
      <c r="B1659" s="1" t="s">
        <v>4</v>
      </c>
      <c r="C1659" s="2">
        <v>43166</v>
      </c>
    </row>
    <row r="1660" spans="1:3" x14ac:dyDescent="0.3">
      <c r="A1660">
        <v>70853</v>
      </c>
      <c r="B1660" s="1" t="s">
        <v>3</v>
      </c>
      <c r="C1660" s="2">
        <v>43242</v>
      </c>
    </row>
    <row r="1661" spans="1:3" x14ac:dyDescent="0.3">
      <c r="A1661">
        <v>7654</v>
      </c>
      <c r="B1661" s="1" t="s">
        <v>3</v>
      </c>
      <c r="C1661" s="2">
        <v>43169</v>
      </c>
    </row>
    <row r="1662" spans="1:3" x14ac:dyDescent="0.3">
      <c r="A1662">
        <v>61842</v>
      </c>
      <c r="B1662" s="1" t="s">
        <v>3</v>
      </c>
      <c r="C1662" s="2">
        <v>43158</v>
      </c>
    </row>
    <row r="1663" spans="1:3" x14ac:dyDescent="0.3">
      <c r="A1663">
        <v>50200</v>
      </c>
      <c r="B1663" s="1" t="s">
        <v>4</v>
      </c>
      <c r="C1663" s="2">
        <v>43116</v>
      </c>
    </row>
    <row r="1664" spans="1:3" x14ac:dyDescent="0.3">
      <c r="A1664">
        <v>81475</v>
      </c>
      <c r="B1664" s="1" t="s">
        <v>4</v>
      </c>
      <c r="C1664" s="2">
        <v>43243</v>
      </c>
    </row>
    <row r="1665" spans="1:3" x14ac:dyDescent="0.3">
      <c r="A1665">
        <v>81434</v>
      </c>
      <c r="B1665" s="1" t="s">
        <v>4</v>
      </c>
      <c r="C1665" s="2">
        <v>43145</v>
      </c>
    </row>
    <row r="1666" spans="1:3" x14ac:dyDescent="0.3">
      <c r="A1666">
        <v>74128</v>
      </c>
      <c r="B1666" s="1" t="s">
        <v>4</v>
      </c>
      <c r="C1666" s="2">
        <v>43086</v>
      </c>
    </row>
    <row r="1667" spans="1:3" x14ac:dyDescent="0.3">
      <c r="A1667">
        <v>96944</v>
      </c>
      <c r="B1667" s="1" t="s">
        <v>4</v>
      </c>
      <c r="C1667" s="2">
        <v>43199</v>
      </c>
    </row>
    <row r="1668" spans="1:3" x14ac:dyDescent="0.3">
      <c r="A1668">
        <v>97234</v>
      </c>
      <c r="B1668" s="1" t="s">
        <v>4</v>
      </c>
      <c r="C1668" s="2">
        <v>43163</v>
      </c>
    </row>
    <row r="1669" spans="1:3" x14ac:dyDescent="0.3">
      <c r="A1669">
        <v>39788</v>
      </c>
      <c r="B1669" s="1" t="s">
        <v>4</v>
      </c>
      <c r="C1669" s="2">
        <v>43260</v>
      </c>
    </row>
    <row r="1670" spans="1:3" x14ac:dyDescent="0.3">
      <c r="A1670">
        <v>80232</v>
      </c>
      <c r="B1670" s="1" t="s">
        <v>4</v>
      </c>
      <c r="C1670" s="2">
        <v>43221</v>
      </c>
    </row>
    <row r="1671" spans="1:3" x14ac:dyDescent="0.3">
      <c r="A1671">
        <v>65845</v>
      </c>
      <c r="B1671" s="1" t="s">
        <v>4</v>
      </c>
      <c r="C1671" s="2">
        <v>43128</v>
      </c>
    </row>
    <row r="1672" spans="1:3" x14ac:dyDescent="0.3">
      <c r="A1672">
        <v>56260</v>
      </c>
      <c r="B1672" s="1" t="s">
        <v>3</v>
      </c>
      <c r="C1672" s="2">
        <v>43236</v>
      </c>
    </row>
    <row r="1673" spans="1:3" x14ac:dyDescent="0.3">
      <c r="A1673">
        <v>81370</v>
      </c>
      <c r="B1673" s="1" t="s">
        <v>3</v>
      </c>
      <c r="C1673" s="2">
        <v>43113</v>
      </c>
    </row>
    <row r="1674" spans="1:3" x14ac:dyDescent="0.3">
      <c r="A1674">
        <v>69042</v>
      </c>
      <c r="B1674" s="1" t="s">
        <v>3</v>
      </c>
      <c r="C1674" s="2">
        <v>43125</v>
      </c>
    </row>
    <row r="1675" spans="1:3" x14ac:dyDescent="0.3">
      <c r="A1675">
        <v>78368</v>
      </c>
      <c r="B1675" s="1" t="s">
        <v>4</v>
      </c>
      <c r="C1675" s="2">
        <v>43164</v>
      </c>
    </row>
    <row r="1676" spans="1:3" x14ac:dyDescent="0.3">
      <c r="A1676">
        <v>53863</v>
      </c>
      <c r="B1676" s="1" t="s">
        <v>4</v>
      </c>
      <c r="C1676" s="2">
        <v>43163</v>
      </c>
    </row>
    <row r="1677" spans="1:3" x14ac:dyDescent="0.3">
      <c r="A1677">
        <v>69690</v>
      </c>
      <c r="B1677" s="1" t="s">
        <v>4</v>
      </c>
      <c r="C1677" s="2">
        <v>43176</v>
      </c>
    </row>
    <row r="1678" spans="1:3" x14ac:dyDescent="0.3">
      <c r="A1678">
        <v>43428</v>
      </c>
      <c r="B1678" s="1" t="s">
        <v>3</v>
      </c>
      <c r="C1678" s="2">
        <v>43224</v>
      </c>
    </row>
    <row r="1679" spans="1:3" x14ac:dyDescent="0.3">
      <c r="A1679">
        <v>77001</v>
      </c>
      <c r="B1679" s="1" t="s">
        <v>3</v>
      </c>
      <c r="C1679" s="2">
        <v>43116</v>
      </c>
    </row>
    <row r="1680" spans="1:3" x14ac:dyDescent="0.3">
      <c r="A1680">
        <v>27358</v>
      </c>
      <c r="B1680" s="1" t="s">
        <v>3</v>
      </c>
      <c r="C1680" s="2">
        <v>43260</v>
      </c>
    </row>
    <row r="1681" spans="1:3" x14ac:dyDescent="0.3">
      <c r="A1681">
        <v>46359</v>
      </c>
      <c r="B1681" s="1" t="s">
        <v>3</v>
      </c>
      <c r="C1681" s="2">
        <v>43270</v>
      </c>
    </row>
    <row r="1682" spans="1:3" x14ac:dyDescent="0.3">
      <c r="A1682">
        <v>76434</v>
      </c>
      <c r="B1682" s="1" t="s">
        <v>4</v>
      </c>
      <c r="C1682" s="2">
        <v>43230</v>
      </c>
    </row>
    <row r="1683" spans="1:3" x14ac:dyDescent="0.3">
      <c r="A1683">
        <v>6123</v>
      </c>
      <c r="B1683" s="1" t="s">
        <v>3</v>
      </c>
      <c r="C1683" s="2">
        <v>43276</v>
      </c>
    </row>
    <row r="1684" spans="1:3" x14ac:dyDescent="0.3">
      <c r="A1684">
        <v>59989</v>
      </c>
      <c r="B1684" s="1" t="s">
        <v>4</v>
      </c>
      <c r="C1684" s="2">
        <v>43104</v>
      </c>
    </row>
    <row r="1685" spans="1:3" x14ac:dyDescent="0.3">
      <c r="A1685">
        <v>67179</v>
      </c>
      <c r="B1685" s="1" t="s">
        <v>3</v>
      </c>
      <c r="C1685" s="2">
        <v>43098</v>
      </c>
    </row>
    <row r="1686" spans="1:3" x14ac:dyDescent="0.3">
      <c r="A1686">
        <v>58327</v>
      </c>
      <c r="B1686" s="1" t="s">
        <v>4</v>
      </c>
      <c r="C1686" s="2">
        <v>43275</v>
      </c>
    </row>
    <row r="1687" spans="1:3" x14ac:dyDescent="0.3">
      <c r="A1687">
        <v>17922</v>
      </c>
      <c r="B1687" s="1" t="s">
        <v>3</v>
      </c>
      <c r="C1687" s="2">
        <v>43267</v>
      </c>
    </row>
    <row r="1688" spans="1:3" x14ac:dyDescent="0.3">
      <c r="A1688">
        <v>9182</v>
      </c>
      <c r="B1688" s="1" t="s">
        <v>3</v>
      </c>
      <c r="C1688" s="2">
        <v>43205</v>
      </c>
    </row>
    <row r="1689" spans="1:3" x14ac:dyDescent="0.3">
      <c r="A1689">
        <v>75802</v>
      </c>
      <c r="B1689" s="1" t="s">
        <v>4</v>
      </c>
      <c r="C1689" s="2">
        <v>43211</v>
      </c>
    </row>
    <row r="1690" spans="1:3" x14ac:dyDescent="0.3">
      <c r="A1690">
        <v>13582</v>
      </c>
      <c r="B1690" s="1" t="s">
        <v>3</v>
      </c>
      <c r="C1690" s="2">
        <v>43188</v>
      </c>
    </row>
    <row r="1691" spans="1:3" x14ac:dyDescent="0.3">
      <c r="A1691">
        <v>51987</v>
      </c>
      <c r="B1691" s="1" t="s">
        <v>4</v>
      </c>
      <c r="C1691" s="2">
        <v>43236</v>
      </c>
    </row>
    <row r="1692" spans="1:3" x14ac:dyDescent="0.3">
      <c r="A1692">
        <v>60043</v>
      </c>
      <c r="B1692" s="1" t="s">
        <v>3</v>
      </c>
      <c r="C1692" s="2">
        <v>43131</v>
      </c>
    </row>
    <row r="1693" spans="1:3" x14ac:dyDescent="0.3">
      <c r="A1693">
        <v>99928</v>
      </c>
      <c r="B1693" s="1" t="s">
        <v>4</v>
      </c>
      <c r="C1693" s="2">
        <v>43255</v>
      </c>
    </row>
    <row r="1694" spans="1:3" x14ac:dyDescent="0.3">
      <c r="A1694">
        <v>77447</v>
      </c>
      <c r="B1694" s="1" t="s">
        <v>3</v>
      </c>
      <c r="C1694" s="2">
        <v>43248</v>
      </c>
    </row>
    <row r="1695" spans="1:3" x14ac:dyDescent="0.3">
      <c r="A1695">
        <v>34455</v>
      </c>
      <c r="B1695" s="1" t="s">
        <v>4</v>
      </c>
      <c r="C1695" s="2">
        <v>43182</v>
      </c>
    </row>
    <row r="1696" spans="1:3" x14ac:dyDescent="0.3">
      <c r="A1696">
        <v>22955</v>
      </c>
      <c r="B1696" s="1" t="s">
        <v>3</v>
      </c>
      <c r="C1696" s="2">
        <v>43240</v>
      </c>
    </row>
    <row r="1697" spans="1:3" x14ac:dyDescent="0.3">
      <c r="A1697">
        <v>68325</v>
      </c>
      <c r="B1697" s="1" t="s">
        <v>3</v>
      </c>
      <c r="C1697" s="2">
        <v>43132</v>
      </c>
    </row>
    <row r="1698" spans="1:3" x14ac:dyDescent="0.3">
      <c r="A1698">
        <v>76625</v>
      </c>
      <c r="B1698" s="1" t="s">
        <v>4</v>
      </c>
      <c r="C1698" s="2">
        <v>43185</v>
      </c>
    </row>
    <row r="1699" spans="1:3" x14ac:dyDescent="0.3">
      <c r="A1699">
        <v>81039</v>
      </c>
      <c r="B1699" s="1" t="s">
        <v>4</v>
      </c>
      <c r="C1699" s="2">
        <v>43260</v>
      </c>
    </row>
    <row r="1700" spans="1:3" x14ac:dyDescent="0.3">
      <c r="A1700">
        <v>74710</v>
      </c>
      <c r="B1700" s="1" t="s">
        <v>3</v>
      </c>
      <c r="C1700" s="2">
        <v>43113</v>
      </c>
    </row>
    <row r="1701" spans="1:3" x14ac:dyDescent="0.3">
      <c r="A1701">
        <v>39211</v>
      </c>
      <c r="B1701" s="1" t="s">
        <v>4</v>
      </c>
      <c r="C1701" s="2">
        <v>43113</v>
      </c>
    </row>
    <row r="1702" spans="1:3" x14ac:dyDescent="0.3">
      <c r="A1702">
        <v>98644</v>
      </c>
      <c r="B1702" s="1" t="s">
        <v>3</v>
      </c>
      <c r="C1702" s="2">
        <v>43199</v>
      </c>
    </row>
    <row r="1703" spans="1:3" x14ac:dyDescent="0.3">
      <c r="A1703">
        <v>93358</v>
      </c>
      <c r="B1703" s="1" t="s">
        <v>4</v>
      </c>
      <c r="C1703" s="2">
        <v>43111</v>
      </c>
    </row>
    <row r="1704" spans="1:3" x14ac:dyDescent="0.3">
      <c r="A1704">
        <v>63495</v>
      </c>
      <c r="B1704" s="1" t="s">
        <v>4</v>
      </c>
      <c r="C1704" s="2">
        <v>43273</v>
      </c>
    </row>
    <row r="1705" spans="1:3" x14ac:dyDescent="0.3">
      <c r="A1705">
        <v>89891</v>
      </c>
      <c r="B1705" s="1" t="s">
        <v>3</v>
      </c>
      <c r="C1705" s="2">
        <v>43122</v>
      </c>
    </row>
    <row r="1706" spans="1:3" x14ac:dyDescent="0.3">
      <c r="A1706">
        <v>83378</v>
      </c>
      <c r="B1706" s="1" t="s">
        <v>4</v>
      </c>
      <c r="C1706" s="2">
        <v>43262</v>
      </c>
    </row>
    <row r="1707" spans="1:3" x14ac:dyDescent="0.3">
      <c r="A1707">
        <v>47145</v>
      </c>
      <c r="B1707" s="1" t="s">
        <v>4</v>
      </c>
      <c r="C1707" s="2">
        <v>43113</v>
      </c>
    </row>
    <row r="1708" spans="1:3" x14ac:dyDescent="0.3">
      <c r="A1708">
        <v>83491</v>
      </c>
      <c r="B1708" s="1" t="s">
        <v>3</v>
      </c>
      <c r="C1708" s="2">
        <v>43276</v>
      </c>
    </row>
    <row r="1709" spans="1:3" x14ac:dyDescent="0.3">
      <c r="A1709">
        <v>59703</v>
      </c>
      <c r="B1709" s="1" t="s">
        <v>3</v>
      </c>
      <c r="C1709" s="2">
        <v>43183</v>
      </c>
    </row>
    <row r="1710" spans="1:3" x14ac:dyDescent="0.3">
      <c r="A1710">
        <v>52852</v>
      </c>
      <c r="B1710" s="1" t="s">
        <v>4</v>
      </c>
      <c r="C1710" s="2">
        <v>43087</v>
      </c>
    </row>
    <row r="1711" spans="1:3" x14ac:dyDescent="0.3">
      <c r="A1711">
        <v>7279</v>
      </c>
      <c r="B1711" s="1" t="s">
        <v>3</v>
      </c>
      <c r="C1711" s="2">
        <v>43242</v>
      </c>
    </row>
    <row r="1712" spans="1:3" x14ac:dyDescent="0.3">
      <c r="A1712">
        <v>5831</v>
      </c>
      <c r="B1712" s="1" t="s">
        <v>3</v>
      </c>
      <c r="C1712" s="2">
        <v>43122</v>
      </c>
    </row>
    <row r="1713" spans="1:3" x14ac:dyDescent="0.3">
      <c r="A1713">
        <v>22797</v>
      </c>
      <c r="B1713" s="1" t="s">
        <v>3</v>
      </c>
      <c r="C1713" s="2">
        <v>43102</v>
      </c>
    </row>
    <row r="1714" spans="1:3" x14ac:dyDescent="0.3">
      <c r="A1714">
        <v>62666</v>
      </c>
      <c r="B1714" s="1" t="s">
        <v>3</v>
      </c>
      <c r="C1714" s="2">
        <v>43084</v>
      </c>
    </row>
    <row r="1715" spans="1:3" x14ac:dyDescent="0.3">
      <c r="A1715">
        <v>70821</v>
      </c>
      <c r="B1715" s="1" t="s">
        <v>4</v>
      </c>
      <c r="C1715" s="2">
        <v>43140</v>
      </c>
    </row>
    <row r="1716" spans="1:3" x14ac:dyDescent="0.3">
      <c r="A1716">
        <v>38274</v>
      </c>
      <c r="B1716" s="1" t="s">
        <v>4</v>
      </c>
      <c r="C1716" s="2">
        <v>43170</v>
      </c>
    </row>
    <row r="1717" spans="1:3" x14ac:dyDescent="0.3">
      <c r="A1717">
        <v>59975</v>
      </c>
      <c r="B1717" s="1" t="s">
        <v>4</v>
      </c>
      <c r="C1717" s="2">
        <v>43157</v>
      </c>
    </row>
    <row r="1718" spans="1:3" x14ac:dyDescent="0.3">
      <c r="A1718">
        <v>77762</v>
      </c>
      <c r="B1718" s="1" t="s">
        <v>3</v>
      </c>
      <c r="C1718" s="2">
        <v>43112</v>
      </c>
    </row>
    <row r="1719" spans="1:3" x14ac:dyDescent="0.3">
      <c r="A1719">
        <v>65949</v>
      </c>
      <c r="B1719" s="1" t="s">
        <v>4</v>
      </c>
      <c r="C1719" s="2">
        <v>43160</v>
      </c>
    </row>
    <row r="1720" spans="1:3" x14ac:dyDescent="0.3">
      <c r="A1720">
        <v>79120</v>
      </c>
      <c r="B1720" s="1" t="s">
        <v>4</v>
      </c>
      <c r="C1720" s="2">
        <v>43199</v>
      </c>
    </row>
    <row r="1721" spans="1:3" x14ac:dyDescent="0.3">
      <c r="A1721">
        <v>92818</v>
      </c>
      <c r="B1721" s="1" t="s">
        <v>4</v>
      </c>
      <c r="C1721" s="2">
        <v>43095</v>
      </c>
    </row>
    <row r="1722" spans="1:3" x14ac:dyDescent="0.3">
      <c r="A1722">
        <v>36403</v>
      </c>
      <c r="B1722" s="1" t="s">
        <v>4</v>
      </c>
      <c r="C1722" s="2">
        <v>43266</v>
      </c>
    </row>
    <row r="1723" spans="1:3" x14ac:dyDescent="0.3">
      <c r="A1723">
        <v>3657</v>
      </c>
      <c r="B1723" s="1" t="s">
        <v>3</v>
      </c>
      <c r="C1723" s="2">
        <v>43159</v>
      </c>
    </row>
    <row r="1724" spans="1:3" x14ac:dyDescent="0.3">
      <c r="A1724">
        <v>47820</v>
      </c>
      <c r="B1724" s="1" t="s">
        <v>4</v>
      </c>
      <c r="C1724" s="2">
        <v>43159</v>
      </c>
    </row>
    <row r="1725" spans="1:3" x14ac:dyDescent="0.3">
      <c r="A1725">
        <v>54698</v>
      </c>
      <c r="B1725" s="1" t="s">
        <v>3</v>
      </c>
      <c r="C1725" s="2">
        <v>43123</v>
      </c>
    </row>
    <row r="1726" spans="1:3" x14ac:dyDescent="0.3">
      <c r="A1726">
        <v>36706</v>
      </c>
      <c r="B1726" s="1" t="s">
        <v>3</v>
      </c>
      <c r="C1726" s="2">
        <v>43083</v>
      </c>
    </row>
    <row r="1727" spans="1:3" x14ac:dyDescent="0.3">
      <c r="A1727">
        <v>50327</v>
      </c>
      <c r="B1727" s="1" t="s">
        <v>4</v>
      </c>
      <c r="C1727" s="2">
        <v>43220</v>
      </c>
    </row>
    <row r="1728" spans="1:3" x14ac:dyDescent="0.3">
      <c r="A1728">
        <v>92348</v>
      </c>
      <c r="B1728" s="1" t="s">
        <v>3</v>
      </c>
      <c r="C1728" s="2">
        <v>43124</v>
      </c>
    </row>
    <row r="1729" spans="1:3" x14ac:dyDescent="0.3">
      <c r="A1729">
        <v>34018</v>
      </c>
      <c r="B1729" s="1" t="s">
        <v>3</v>
      </c>
      <c r="C1729" s="2">
        <v>43106</v>
      </c>
    </row>
    <row r="1730" spans="1:3" x14ac:dyDescent="0.3">
      <c r="A1730">
        <v>2417</v>
      </c>
      <c r="B1730" s="1" t="s">
        <v>3</v>
      </c>
      <c r="C1730" s="2">
        <v>43162</v>
      </c>
    </row>
    <row r="1731" spans="1:3" x14ac:dyDescent="0.3">
      <c r="A1731">
        <v>73427</v>
      </c>
      <c r="B1731" s="1" t="s">
        <v>4</v>
      </c>
      <c r="C1731" s="2">
        <v>43249</v>
      </c>
    </row>
    <row r="1732" spans="1:3" x14ac:dyDescent="0.3">
      <c r="A1732">
        <v>58578</v>
      </c>
      <c r="B1732" s="1" t="s">
        <v>4</v>
      </c>
      <c r="C1732" s="2">
        <v>43271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8210-2958-4D1A-9285-467B901CCD9A}">
  <dimension ref="B3:V21"/>
  <sheetViews>
    <sheetView workbookViewId="0">
      <selection activeCell="H19" sqref="H19"/>
    </sheetView>
  </sheetViews>
  <sheetFormatPr defaultRowHeight="14.4" x14ac:dyDescent="0.3"/>
  <cols>
    <col min="2" max="2" width="25.77734375" bestFit="1" customWidth="1"/>
    <col min="3" max="3" width="16.77734375" bestFit="1" customWidth="1"/>
    <col min="4" max="6" width="16.6640625" bestFit="1" customWidth="1"/>
    <col min="7" max="7" width="16.5546875" bestFit="1" customWidth="1"/>
    <col min="8" max="20" width="15.6640625" bestFit="1" customWidth="1"/>
    <col min="21" max="21" width="15.77734375" customWidth="1"/>
    <col min="22" max="22" width="16.6640625" bestFit="1" customWidth="1"/>
  </cols>
  <sheetData>
    <row r="3" spans="2:22" x14ac:dyDescent="0.3">
      <c r="B3" t="str">
        <f>IF($V$13=0,"","Existe um erro de validação!!!")</f>
        <v/>
      </c>
      <c r="C3" s="7" t="s">
        <v>14</v>
      </c>
    </row>
    <row r="4" spans="2:22" x14ac:dyDescent="0.3">
      <c r="B4" t="s">
        <v>13</v>
      </c>
      <c r="C4" s="16">
        <v>100</v>
      </c>
    </row>
    <row r="5" spans="2:22" x14ac:dyDescent="0.3">
      <c r="B5" t="s">
        <v>12</v>
      </c>
      <c r="C5" s="17">
        <v>0.1</v>
      </c>
    </row>
    <row r="6" spans="2:22" x14ac:dyDescent="0.3">
      <c r="C6" s="10"/>
    </row>
    <row r="7" spans="2:22" x14ac:dyDescent="0.3">
      <c r="B7" s="11"/>
      <c r="C7" s="11">
        <v>2018</v>
      </c>
      <c r="D7" s="11">
        <v>2018</v>
      </c>
      <c r="E7" s="11">
        <v>2018</v>
      </c>
      <c r="F7" s="11">
        <v>2018</v>
      </c>
      <c r="G7" s="11">
        <v>2019</v>
      </c>
      <c r="H7" s="11">
        <v>2019</v>
      </c>
      <c r="I7" s="11">
        <v>2019</v>
      </c>
      <c r="J7" s="11">
        <v>2019</v>
      </c>
      <c r="K7" s="11">
        <v>2019</v>
      </c>
      <c r="L7" s="11">
        <v>2019</v>
      </c>
      <c r="M7" s="11">
        <v>2019</v>
      </c>
      <c r="N7" s="11">
        <v>2019</v>
      </c>
      <c r="O7" s="11">
        <v>2019</v>
      </c>
      <c r="P7" s="11">
        <v>2019</v>
      </c>
      <c r="Q7" s="11">
        <v>2019</v>
      </c>
      <c r="R7" s="11">
        <v>2019</v>
      </c>
      <c r="S7" s="11">
        <v>2020</v>
      </c>
      <c r="T7" s="11">
        <v>2020</v>
      </c>
      <c r="U7" s="11"/>
      <c r="V7" s="11">
        <v>2019</v>
      </c>
    </row>
    <row r="8" spans="2:22" x14ac:dyDescent="0.3">
      <c r="B8" s="11"/>
      <c r="C8" s="12">
        <v>43373</v>
      </c>
      <c r="D8" s="12">
        <f>EOMONTH(C8,1)</f>
        <v>43404</v>
      </c>
      <c r="E8" s="12">
        <f>EOMONTH(D8,1)</f>
        <v>43434</v>
      </c>
      <c r="F8" s="12">
        <f>EOMONTH(E8,1)</f>
        <v>43465</v>
      </c>
      <c r="G8" s="12">
        <f t="shared" ref="G8:S8" si="0">EOMONTH(F8,1)</f>
        <v>43496</v>
      </c>
      <c r="H8" s="12">
        <f t="shared" si="0"/>
        <v>43524</v>
      </c>
      <c r="I8" s="12">
        <f t="shared" si="0"/>
        <v>43555</v>
      </c>
      <c r="J8" s="12">
        <f t="shared" si="0"/>
        <v>43585</v>
      </c>
      <c r="K8" s="12">
        <f t="shared" si="0"/>
        <v>43616</v>
      </c>
      <c r="L8" s="12">
        <f t="shared" si="0"/>
        <v>43646</v>
      </c>
      <c r="M8" s="12">
        <f t="shared" si="0"/>
        <v>43677</v>
      </c>
      <c r="N8" s="12">
        <f t="shared" si="0"/>
        <v>43708</v>
      </c>
      <c r="O8" s="12">
        <f t="shared" si="0"/>
        <v>43738</v>
      </c>
      <c r="P8" s="12">
        <f t="shared" si="0"/>
        <v>43769</v>
      </c>
      <c r="Q8" s="12">
        <f t="shared" si="0"/>
        <v>43799</v>
      </c>
      <c r="R8" s="12">
        <f t="shared" si="0"/>
        <v>43830</v>
      </c>
      <c r="S8" s="12">
        <f t="shared" si="0"/>
        <v>43861</v>
      </c>
      <c r="T8" s="12">
        <f>EOMONTH(S8,1)</f>
        <v>43890</v>
      </c>
      <c r="U8" s="12"/>
      <c r="V8" s="11"/>
    </row>
    <row r="9" spans="2:22" x14ac:dyDescent="0.3">
      <c r="B9" s="11" t="s">
        <v>0</v>
      </c>
      <c r="C9" s="13">
        <f>TicketMedio</f>
        <v>100</v>
      </c>
      <c r="D9" s="13">
        <f>TicketMedio</f>
        <v>100</v>
      </c>
      <c r="E9" s="13">
        <f>TicketMedio</f>
        <v>100</v>
      </c>
      <c r="F9" s="13">
        <f>TicketMedio</f>
        <v>100</v>
      </c>
      <c r="G9" s="13">
        <f>TicketMedio</f>
        <v>100</v>
      </c>
      <c r="H9" s="13">
        <f>TicketMedio</f>
        <v>100</v>
      </c>
      <c r="I9" s="13">
        <f>TicketMedio</f>
        <v>100</v>
      </c>
      <c r="J9" s="13">
        <f>TicketMedio</f>
        <v>100</v>
      </c>
      <c r="K9" s="13">
        <f>TicketMedio</f>
        <v>100</v>
      </c>
      <c r="L9" s="13">
        <f>TicketMedio</f>
        <v>100</v>
      </c>
      <c r="M9" s="13">
        <f>TicketMedio</f>
        <v>100</v>
      </c>
      <c r="N9" s="13">
        <f>TicketMedio</f>
        <v>100</v>
      </c>
      <c r="O9" s="13">
        <f>TicketMedio</f>
        <v>100</v>
      </c>
      <c r="P9" s="13">
        <f>TicketMedio</f>
        <v>100</v>
      </c>
      <c r="Q9" s="13">
        <f>TicketMedio</f>
        <v>100</v>
      </c>
      <c r="R9" s="13">
        <f>TicketMedio</f>
        <v>100</v>
      </c>
      <c r="S9" s="13">
        <f>TicketMedio</f>
        <v>100</v>
      </c>
      <c r="T9" s="13">
        <f>TicketMedio</f>
        <v>100</v>
      </c>
      <c r="U9" s="13"/>
      <c r="V9" s="13">
        <f>SUMPRODUCT(G9:R9,G10:R10)/SUM(G10:R10)</f>
        <v>99.999999999999986</v>
      </c>
    </row>
    <row r="10" spans="2:22" x14ac:dyDescent="0.3">
      <c r="B10" s="11" t="s">
        <v>10</v>
      </c>
      <c r="C10" s="13">
        <v>10000</v>
      </c>
      <c r="D10" s="13">
        <f>C10*(1+TaxaCrescimentoQdtVendas)</f>
        <v>11000</v>
      </c>
      <c r="E10" s="13">
        <f>D10*(1+TaxaCrescimentoQdtVendas)</f>
        <v>12100.000000000002</v>
      </c>
      <c r="F10" s="13">
        <f>E10*(1+TaxaCrescimentoQdtVendas)</f>
        <v>13310.000000000004</v>
      </c>
      <c r="G10" s="13">
        <f>F10*(1+TaxaCrescimentoQdtVendas)</f>
        <v>14641.000000000005</v>
      </c>
      <c r="H10" s="13">
        <f>G10*(1+TaxaCrescimentoQdtVendas)</f>
        <v>16105.100000000008</v>
      </c>
      <c r="I10" s="13">
        <f>H10*(1+TaxaCrescimentoQdtVendas)</f>
        <v>17715.610000000011</v>
      </c>
      <c r="J10" s="13">
        <f>I10*(1+TaxaCrescimentoQdtVendas)</f>
        <v>19487.171000000013</v>
      </c>
      <c r="K10" s="13">
        <f>J10*(1+TaxaCrescimentoQdtVendas)</f>
        <v>21435.888100000015</v>
      </c>
      <c r="L10" s="13">
        <f>K10*(1+TaxaCrescimentoQdtVendas)</f>
        <v>23579.476910000019</v>
      </c>
      <c r="M10" s="13">
        <f>L10*(1+TaxaCrescimentoQdtVendas)</f>
        <v>25937.424601000024</v>
      </c>
      <c r="N10" s="13">
        <f>M10*(1+TaxaCrescimentoQdtVendas)</f>
        <v>28531.16706110003</v>
      </c>
      <c r="O10" s="13">
        <f>N10*(1+TaxaCrescimentoQdtVendas)</f>
        <v>31384.283767210036</v>
      </c>
      <c r="P10" s="13">
        <f>O10*(1+TaxaCrescimentoQdtVendas)</f>
        <v>34522.712143931043</v>
      </c>
      <c r="Q10" s="13">
        <f>P10*(1+TaxaCrescimentoQdtVendas)</f>
        <v>37974.983358324149</v>
      </c>
      <c r="R10" s="13">
        <f>Q10*(1+TaxaCrescimentoQdtVendas)</f>
        <v>41772.481694156566</v>
      </c>
      <c r="S10" s="13">
        <f>R10*(1+TaxaCrescimentoQdtVendas)</f>
        <v>45949.729863572225</v>
      </c>
      <c r="T10" s="13">
        <f>S10*(1+TaxaCrescimentoQdtVendas)</f>
        <v>50544.702849929454</v>
      </c>
      <c r="U10" s="13"/>
      <c r="V10" s="13">
        <f>SUM(G10:R10)</f>
        <v>313087.29863572191</v>
      </c>
    </row>
    <row r="11" spans="2:22" ht="15" thickBot="1" x14ac:dyDescent="0.35">
      <c r="B11" s="14" t="s">
        <v>11</v>
      </c>
      <c r="C11" s="15">
        <f>C9*C10</f>
        <v>1000000</v>
      </c>
      <c r="D11" s="15">
        <f>D9*D10</f>
        <v>1100000</v>
      </c>
      <c r="E11" s="15">
        <f>E9*E10</f>
        <v>1210000.0000000002</v>
      </c>
      <c r="F11" s="15">
        <f>F9*F10</f>
        <v>1331000.0000000005</v>
      </c>
      <c r="G11" s="15">
        <f t="shared" ref="G11:T11" si="1">G9*G10</f>
        <v>1464100.0000000005</v>
      </c>
      <c r="H11" s="15">
        <f t="shared" si="1"/>
        <v>1610510.0000000007</v>
      </c>
      <c r="I11" s="15">
        <f t="shared" si="1"/>
        <v>1771561.0000000012</v>
      </c>
      <c r="J11" s="15">
        <f t="shared" si="1"/>
        <v>1948717.1000000013</v>
      </c>
      <c r="K11" s="15">
        <f t="shared" si="1"/>
        <v>2143588.8100000015</v>
      </c>
      <c r="L11" s="15">
        <f t="shared" si="1"/>
        <v>2357947.691000002</v>
      </c>
      <c r="M11" s="15">
        <f t="shared" si="1"/>
        <v>2593742.4601000026</v>
      </c>
      <c r="N11" s="15">
        <f t="shared" si="1"/>
        <v>2853116.7061100029</v>
      </c>
      <c r="O11" s="15">
        <f t="shared" si="1"/>
        <v>3138428.3767210036</v>
      </c>
      <c r="P11" s="15">
        <f t="shared" si="1"/>
        <v>3452271.2143931044</v>
      </c>
      <c r="Q11" s="15">
        <f t="shared" si="1"/>
        <v>3797498.3358324147</v>
      </c>
      <c r="R11" s="15">
        <f t="shared" si="1"/>
        <v>4177248.1694156565</v>
      </c>
      <c r="S11" s="15">
        <f t="shared" si="1"/>
        <v>4594972.9863572223</v>
      </c>
      <c r="T11" s="15">
        <f t="shared" si="1"/>
        <v>5054470.2849929454</v>
      </c>
      <c r="U11" s="15"/>
      <c r="V11" s="15">
        <f>V9*V10</f>
        <v>31308729.863572188</v>
      </c>
    </row>
    <row r="12" spans="2:22" ht="15" thickTop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3">
        <f>SUM(G11:R11)</f>
        <v>31308729.863572188</v>
      </c>
    </row>
    <row r="13" spans="2:22" x14ac:dyDescent="0.3">
      <c r="U13" t="str">
        <f>IF($V$13=0,"","Existe um erro de validação!!!")</f>
        <v/>
      </c>
      <c r="V13">
        <f>ROUND(V12-V11,2)</f>
        <v>0</v>
      </c>
    </row>
    <row r="15" spans="2:22" x14ac:dyDescent="0.3">
      <c r="B15" s="11" t="s">
        <v>15</v>
      </c>
    </row>
    <row r="16" spans="2:22" ht="15" thickBot="1" x14ac:dyDescent="0.35">
      <c r="B16" s="18">
        <f>V11</f>
        <v>31308729.863572188</v>
      </c>
      <c r="C16" s="10">
        <v>-0.05</v>
      </c>
      <c r="D16" s="10">
        <v>0</v>
      </c>
      <c r="E16" s="10">
        <v>0.05</v>
      </c>
      <c r="F16" s="29">
        <v>0.1</v>
      </c>
      <c r="G16" s="10">
        <v>0.15</v>
      </c>
    </row>
    <row r="17" spans="2:7" x14ac:dyDescent="0.3">
      <c r="B17" s="19">
        <v>80</v>
      </c>
      <c r="C17" s="20">
        <f t="dataTable" ref="C17:G21" dt2D="1" dtr="1" r1="C5" r2="C4"/>
        <v>5990073.3015717473</v>
      </c>
      <c r="D17" s="21">
        <v>9600000</v>
      </c>
      <c r="E17" s="21">
        <v>15477893.414110973</v>
      </c>
      <c r="F17" s="30">
        <v>25046983.890857752</v>
      </c>
      <c r="G17" s="22">
        <v>40579277.992195591</v>
      </c>
    </row>
    <row r="18" spans="2:7" x14ac:dyDescent="0.3">
      <c r="B18" s="6">
        <v>90</v>
      </c>
      <c r="C18" s="23">
        <v>6738832.4642682159</v>
      </c>
      <c r="D18" s="24">
        <v>10800000</v>
      </c>
      <c r="E18" s="24">
        <v>17412630.090874843</v>
      </c>
      <c r="F18" s="31">
        <v>28177856.877214972</v>
      </c>
      <c r="G18" s="25">
        <v>45651687.741220027</v>
      </c>
    </row>
    <row r="19" spans="2:7" x14ac:dyDescent="0.3">
      <c r="B19" s="33">
        <v>100</v>
      </c>
      <c r="C19" s="34">
        <v>7487591.6269646846</v>
      </c>
      <c r="D19" s="31">
        <v>12000000</v>
      </c>
      <c r="E19" s="31">
        <v>19347366.767638717</v>
      </c>
      <c r="F19" s="36">
        <v>31308729.863572188</v>
      </c>
      <c r="G19" s="35">
        <v>50724097.490244478</v>
      </c>
    </row>
    <row r="20" spans="2:7" x14ac:dyDescent="0.3">
      <c r="B20" s="6">
        <v>110</v>
      </c>
      <c r="C20" s="23">
        <v>8236350.7896611523</v>
      </c>
      <c r="D20" s="24">
        <v>13200000</v>
      </c>
      <c r="E20" s="24">
        <v>21282103.44440259</v>
      </c>
      <c r="F20" s="31">
        <v>34439602.849929415</v>
      </c>
      <c r="G20" s="25">
        <v>55796507.239268929</v>
      </c>
    </row>
    <row r="21" spans="2:7" ht="15" thickBot="1" x14ac:dyDescent="0.35">
      <c r="B21" s="6">
        <v>120</v>
      </c>
      <c r="C21" s="26">
        <v>8985109.95235762</v>
      </c>
      <c r="D21" s="27">
        <v>14400000</v>
      </c>
      <c r="E21" s="27">
        <v>23216840.12116646</v>
      </c>
      <c r="F21" s="32">
        <v>37570475.836286627</v>
      </c>
      <c r="G21" s="28">
        <v>60868916.98829338</v>
      </c>
    </row>
  </sheetData>
  <protectedRanges>
    <protectedRange sqref="C4:C5" name="Premissa"/>
  </protectedRange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1B8607-05A6-4DB8-80E0-361F352ED4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15</vt:i4>
      </vt:variant>
    </vt:vector>
  </HeadingPairs>
  <TitlesOfParts>
    <vt:vector size="20" baseType="lpstr">
      <vt:lpstr>Simulações-2</vt:lpstr>
      <vt:lpstr>Simulações-3</vt:lpstr>
      <vt:lpstr>Simulações-4</vt:lpstr>
      <vt:lpstr>Vendas</vt:lpstr>
      <vt:lpstr>Simulações</vt:lpstr>
      <vt:lpstr>DataLancamentoUltimaVersao</vt:lpstr>
      <vt:lpstr>PF</vt:lpstr>
      <vt:lpstr>PJ</vt:lpstr>
      <vt:lpstr>'Simulações-2'!TaxaCrescimentoQdtVendas</vt:lpstr>
      <vt:lpstr>'Simulações-3'!TaxaCrescimentoQdtVendas</vt:lpstr>
      <vt:lpstr>'Simulações-4'!TaxaCrescimentoQdtVendas</vt:lpstr>
      <vt:lpstr>TaxaCrescimentoQdtVendas</vt:lpstr>
      <vt:lpstr>'Simulações-2'!TaxaCrescimentoVendas</vt:lpstr>
      <vt:lpstr>'Simulações-3'!TaxaCrescimentoVendas</vt:lpstr>
      <vt:lpstr>'Simulações-4'!TaxaCrescimentoVendas</vt:lpstr>
      <vt:lpstr>TaxaCrescimentoVendas</vt:lpstr>
      <vt:lpstr>'Simulações-2'!TicketMedio</vt:lpstr>
      <vt:lpstr>'Simulações-3'!TicketMedio</vt:lpstr>
      <vt:lpstr>'Simulações-4'!TicketMedio</vt:lpstr>
      <vt:lpstr>TicketMedio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2021-04-02T12:38:17Z</dcterms:created>
  <dcterms:modified xsi:type="dcterms:W3CDTF">2021-04-06T15:17:09Z</dcterms:modified>
</cp:coreProperties>
</file>