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drawings/drawing2.xml" ContentType="application/vnd.openxmlformats-officedocument.drawing+xml"/>
  <Override PartName="/xl/timelines/timeline2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uario\Projetos-B.I\Excel\Excel-Curso\excel-visualizacoes\"/>
    </mc:Choice>
  </mc:AlternateContent>
  <xr:revisionPtr revIDLastSave="0" documentId="13_ncr:1_{004D8077-927B-4E74-8BD8-A6388964222C}" xr6:coauthVersionLast="46" xr6:coauthVersionMax="46" xr10:uidLastSave="{00000000-0000-0000-0000-000000000000}"/>
  <bookViews>
    <workbookView xWindow="-108" yWindow="-108" windowWidth="23256" windowHeight="12576" activeTab="2" xr2:uid="{B673A230-CF2B-4926-840F-06DAC6DEF54A}"/>
  </bookViews>
  <sheets>
    <sheet name="Controle de Entregas" sheetId="3" r:id="rId1"/>
    <sheet name="Tabelas Dinâmicas" sheetId="5" r:id="rId2"/>
    <sheet name="Dashboard" sheetId="7" r:id="rId3"/>
    <sheet name="Indicadores Base" sheetId="8" state="hidden" r:id="rId4"/>
  </sheets>
  <definedNames>
    <definedName name="NativeTimeline_Data_Contrato">#N/A</definedName>
    <definedName name="OrigemDinamica">'Controle de Entregas'!$A$1:$M$31</definedName>
    <definedName name="Pesos">'Controle de Entregas'!$F$2:$F$31</definedName>
    <definedName name="SegmentaçãodeDados_Cliente">#N/A</definedName>
    <definedName name="SituacaoChegadas">'Controle de Entregas'!$M$2:$M$31</definedName>
    <definedName name="SituacaoPartidas">'Controle de Entregas'!$J$2:$J$31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7"/>
      </x15:timelineCacheRefs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8" l="1"/>
  <c r="BA16" i="7"/>
  <c r="BA10" i="7"/>
  <c r="AJ16" i="7"/>
  <c r="AJ10" i="7"/>
  <c r="R10" i="7"/>
  <c r="R16" i="7"/>
  <c r="I4" i="7"/>
  <c r="I10" i="7"/>
  <c r="AR10" i="7"/>
  <c r="BA4" i="7"/>
  <c r="AR4" i="7"/>
  <c r="AA10" i="7"/>
  <c r="AJ4" i="7"/>
  <c r="AA4" i="7"/>
  <c r="R4" i="7"/>
  <c r="AA16" i="7" l="1"/>
  <c r="I16" i="7"/>
  <c r="B2" i="7" s="1"/>
  <c r="AR16" i="7"/>
</calcChain>
</file>

<file path=xl/sharedStrings.xml><?xml version="1.0" encoding="utf-8"?>
<sst xmlns="http://schemas.openxmlformats.org/spreadsheetml/2006/main" count="295" uniqueCount="56">
  <si>
    <t>Cliente</t>
  </si>
  <si>
    <t>Carga</t>
  </si>
  <si>
    <t>Data Contrato</t>
  </si>
  <si>
    <t>Status do Contrato</t>
  </si>
  <si>
    <t>Livraria Várias Letras</t>
  </si>
  <si>
    <t>Livros</t>
  </si>
  <si>
    <t>Tipo de Veículo</t>
  </si>
  <si>
    <t>Origem</t>
  </si>
  <si>
    <t>Data de Saída</t>
  </si>
  <si>
    <t>Destino</t>
  </si>
  <si>
    <t>Data de Chegada</t>
  </si>
  <si>
    <t>Situação da Chegada</t>
  </si>
  <si>
    <t>Situação da Partida</t>
  </si>
  <si>
    <t>Valor do Contrato</t>
  </si>
  <si>
    <t>Figrorífico Muito Frio</t>
  </si>
  <si>
    <t>Tecnologia Antiga</t>
  </si>
  <si>
    <t>Eletrônicos Magazine Suíça</t>
  </si>
  <si>
    <t>Papelaria Sem Papel</t>
  </si>
  <si>
    <t>Encerrado</t>
  </si>
  <si>
    <t>Aberto</t>
  </si>
  <si>
    <t>Insumos</t>
  </si>
  <si>
    <t>Peso (Kg)</t>
  </si>
  <si>
    <t>Utilitário Pequeno</t>
  </si>
  <si>
    <t>MG</t>
  </si>
  <si>
    <t>Finalizada - Em Dia</t>
  </si>
  <si>
    <t>Finalizada - Atrasada</t>
  </si>
  <si>
    <t>Em Aberto - Atrasada</t>
  </si>
  <si>
    <t>SP</t>
  </si>
  <si>
    <t>RJ</t>
  </si>
  <si>
    <t>Carne Congelada</t>
  </si>
  <si>
    <t>MT</t>
  </si>
  <si>
    <t>Caminhão Frigorífico</t>
  </si>
  <si>
    <t>Informática</t>
  </si>
  <si>
    <t>TVs</t>
  </si>
  <si>
    <t>Celulares</t>
  </si>
  <si>
    <t>Linha Branca</t>
  </si>
  <si>
    <t>Caminhão Baú</t>
  </si>
  <si>
    <t>AM</t>
  </si>
  <si>
    <t>BA</t>
  </si>
  <si>
    <t>Artigos de Papelaria</t>
  </si>
  <si>
    <t>Rótulos de Linha</t>
  </si>
  <si>
    <t>Soma de Valor do Contrato</t>
  </si>
  <si>
    <t>Total Geral</t>
  </si>
  <si>
    <t>Soma de Peso (Kg)</t>
  </si>
  <si>
    <t>Contagem de Destino</t>
  </si>
  <si>
    <t>Total de Kg Transportados</t>
  </si>
  <si>
    <t>Viagens</t>
  </si>
  <si>
    <t>Média Peso (Kg)</t>
  </si>
  <si>
    <t>Valor Total dos Contados</t>
  </si>
  <si>
    <t>Partidas com Atraso</t>
  </si>
  <si>
    <t>Viagens em Aberto</t>
  </si>
  <si>
    <t>Em Aberto - Em Dia</t>
  </si>
  <si>
    <t>Painel de Logística</t>
  </si>
  <si>
    <t>Logística de Entregas por Período</t>
  </si>
  <si>
    <t>Painel de Veículos</t>
  </si>
  <si>
    <t>Média de Peso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</si>
</sst>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3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 applyAlignment="1">
      <alignment horizontal="center"/>
    </xf>
    <xf numFmtId="44" fontId="2" fillId="0" borderId="0" xfId="1" applyFont="1" applyAlignment="1">
      <alignment horizontal="center"/>
    </xf>
    <xf numFmtId="44" fontId="0" fillId="0" borderId="0" xfId="1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5" xfId="0" applyNumberFormat="1" applyBorder="1"/>
    <xf numFmtId="0" fontId="0" fillId="0" borderId="7" xfId="0" applyNumberFormat="1" applyBorder="1"/>
    <xf numFmtId="44" fontId="0" fillId="0" borderId="8" xfId="0" applyNumberFormat="1" applyBorder="1"/>
    <xf numFmtId="44" fontId="0" fillId="0" borderId="9" xfId="0" applyNumberFormat="1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2" xfId="0" applyNumberFormat="1" applyBorder="1"/>
    <xf numFmtId="0" fontId="0" fillId="0" borderId="3" xfId="0" applyNumberFormat="1" applyBorder="1"/>
    <xf numFmtId="0" fontId="0" fillId="0" borderId="6" xfId="0" applyNumberFormat="1" applyBorder="1"/>
    <xf numFmtId="0" fontId="0" fillId="0" borderId="10" xfId="0" applyBorder="1"/>
    <xf numFmtId="0" fontId="0" fillId="0" borderId="11" xfId="0" applyBorder="1"/>
    <xf numFmtId="44" fontId="0" fillId="0" borderId="12" xfId="0" applyNumberFormat="1" applyBorder="1"/>
    <xf numFmtId="0" fontId="0" fillId="0" borderId="8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4" xfId="0" applyNumberFormat="1" applyBorder="1"/>
    <xf numFmtId="0" fontId="0" fillId="0" borderId="2" xfId="0" pivotButton="1" applyBorder="1"/>
    <xf numFmtId="0" fontId="0" fillId="0" borderId="4" xfId="0" applyBorder="1" applyAlignment="1">
      <alignment horizontal="left"/>
    </xf>
    <xf numFmtId="0" fontId="0" fillId="0" borderId="0" xfId="0" applyBorder="1"/>
    <xf numFmtId="0" fontId="3" fillId="2" borderId="8" xfId="0" applyFont="1" applyFill="1" applyBorder="1" applyAlignment="1">
      <alignment horizontal="center"/>
    </xf>
    <xf numFmtId="44" fontId="3" fillId="2" borderId="8" xfId="1" applyFont="1" applyFill="1" applyBorder="1" applyAlignment="1">
      <alignment horizontal="center"/>
    </xf>
    <xf numFmtId="2" fontId="4" fillId="3" borderId="12" xfId="0" applyNumberFormat="1" applyFont="1" applyFill="1" applyBorder="1" applyAlignment="1">
      <alignment horizontal="center" vertical="center"/>
    </xf>
    <xf numFmtId="2" fontId="4" fillId="3" borderId="9" xfId="0" applyNumberFormat="1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44" fontId="5" fillId="3" borderId="12" xfId="1" applyFont="1" applyFill="1" applyBorder="1" applyAlignment="1">
      <alignment horizontal="center" vertical="center"/>
    </xf>
    <xf numFmtId="44" fontId="5" fillId="3" borderId="9" xfId="1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textRotation="90"/>
    </xf>
    <xf numFmtId="0" fontId="6" fillId="2" borderId="9" xfId="0" applyFont="1" applyFill="1" applyBorder="1" applyAlignment="1">
      <alignment horizontal="center" vertical="center" textRotation="90"/>
    </xf>
    <xf numFmtId="0" fontId="6" fillId="4" borderId="12" xfId="0" applyFont="1" applyFill="1" applyBorder="1" applyAlignment="1">
      <alignment horizontal="center" vertical="center" textRotation="90"/>
    </xf>
    <xf numFmtId="0" fontId="6" fillId="4" borderId="9" xfId="0" applyFont="1" applyFill="1" applyBorder="1" applyAlignment="1">
      <alignment horizontal="center" vertical="center" textRotation="90"/>
    </xf>
    <xf numFmtId="0" fontId="6" fillId="4" borderId="14" xfId="0" applyFont="1" applyFill="1" applyBorder="1" applyAlignment="1">
      <alignment horizontal="center"/>
    </xf>
    <xf numFmtId="0" fontId="6" fillId="4" borderId="0" xfId="0" applyFont="1" applyFill="1" applyBorder="1" applyAlignment="1">
      <alignment horizontal="center"/>
    </xf>
    <xf numFmtId="0" fontId="6" fillId="5" borderId="0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 textRotation="90"/>
    </xf>
    <xf numFmtId="0" fontId="6" fillId="2" borderId="4" xfId="0" applyFont="1" applyFill="1" applyBorder="1" applyAlignment="1">
      <alignment horizontal="center" vertical="center" textRotation="90"/>
    </xf>
    <xf numFmtId="0" fontId="6" fillId="4" borderId="3" xfId="0" applyFont="1" applyFill="1" applyBorder="1" applyAlignment="1">
      <alignment horizontal="center" vertical="center" textRotation="90"/>
    </xf>
    <xf numFmtId="0" fontId="6" fillId="4" borderId="5" xfId="0" applyFont="1" applyFill="1" applyBorder="1" applyAlignment="1">
      <alignment horizontal="center" vertical="center" textRotation="90"/>
    </xf>
    <xf numFmtId="0" fontId="7" fillId="2" borderId="0" xfId="0" applyFont="1" applyFill="1" applyBorder="1" applyAlignment="1">
      <alignment horizontal="center" vertical="center"/>
    </xf>
    <xf numFmtId="2" fontId="8" fillId="3" borderId="12" xfId="0" applyNumberFormat="1" applyFont="1" applyFill="1" applyBorder="1" applyAlignment="1">
      <alignment horizontal="center" vertical="center"/>
    </xf>
    <xf numFmtId="2" fontId="8" fillId="3" borderId="9" xfId="0" applyNumberFormat="1" applyFont="1" applyFill="1" applyBorder="1" applyAlignment="1">
      <alignment horizontal="center" vertical="center"/>
    </xf>
    <xf numFmtId="2" fontId="9" fillId="3" borderId="12" xfId="0" applyNumberFormat="1" applyFont="1" applyFill="1" applyBorder="1" applyAlignment="1">
      <alignment horizontal="center" vertical="center"/>
    </xf>
    <xf numFmtId="2" fontId="9" fillId="3" borderId="9" xfId="0" applyNumberFormat="1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723">
    <dxf>
      <fill>
        <patternFill>
          <bgColor rgb="FFFFFF00"/>
        </patternFill>
      </fill>
    </dxf>
    <dxf>
      <fill>
        <patternFill>
          <bgColor rgb="FFFFFF89"/>
        </patternFill>
      </fill>
    </dxf>
    <dxf>
      <font>
        <color auto="1"/>
      </font>
      <fill>
        <patternFill>
          <fgColor rgb="FFFF0000"/>
          <bgColor rgb="FFF17961"/>
        </patternFill>
      </fill>
    </dxf>
    <dxf>
      <fill>
        <patternFill>
          <bgColor rgb="FFFFFF89"/>
        </patternFill>
      </fill>
    </dxf>
    <dxf>
      <font>
        <color auto="1"/>
      </font>
      <fill>
        <patternFill>
          <fgColor rgb="FFFF0000"/>
          <bgColor rgb="FFF17961"/>
        </patternFill>
      </fill>
    </dxf>
    <dxf>
      <fill>
        <patternFill>
          <bgColor rgb="FFFFFF89"/>
        </patternFill>
      </fill>
    </dxf>
    <dxf>
      <font>
        <color auto="1"/>
      </font>
      <fill>
        <patternFill>
          <fgColor rgb="FFFF0000"/>
          <bgColor rgb="FFF1796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R$&quot;\ * #,##0.00_-;\-&quot;R$&quot;\ * #,##0.00_-;_-&quot;R$&quot;\ 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R$&quot;\ * #,##0.00_-;\-&quot;R$&quot;\ * #,##0.00_-;_-&quot;R$&quot;\ 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R$&quot;\ * #,##0.00_-;\-&quot;R$&quot;\ * #,##0.00_-;_-&quot;R$&quot;\ 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R$&quot;\ * #,##0.00_-;\-&quot;R$&quot;\ * #,##0.00_-;_-&quot;R$&quot;\ 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R$&quot;\ * #,##0.00_-;\-&quot;R$&quot;\ * #,##0.00_-;_-&quot;R$&quot;\ 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R$&quot;\ * #,##0.00_-;\-&quot;R$&quot;\ * #,##0.00_-;_-&quot;R$&quot;\ 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R$&quot;\ * #,##0.00_-;\-&quot;R$&quot;\ * #,##0.00_-;_-&quot;R$&quot;\ 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R$&quot;\ * #,##0.00_-;\-&quot;R$&quot;\ * #,##0.00_-;_-&quot;R$&quot;\ 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R$&quot;\ * #,##0.00_-;\-&quot;R$&quot;\ * #,##0.00_-;_-&quot;R$&quot;\ 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R$&quot;\ * #,##0.00_-;\-&quot;R$&quot;\ * #,##0.00_-;_-&quot;R$&quot;\ 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R$&quot;\ * #,##0.00_-;\-&quot;R$&quot;\ * #,##0.00_-;_-&quot;R$&quot;\ 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R$&quot;\ * #,##0.00_-;\-&quot;R$&quot;\ * #,##0.00_-;_-&quot;R$&quot;\ 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R$&quot;\ * #,##0.00_-;\-&quot;R$&quot;\ * #,##0.00_-;_-&quot;R$&quot;\ 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R$&quot;\ * #,##0.00_-;\-&quot;R$&quot;\ * #,##0.00_-;_-&quot;R$&quot;\ 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R$&quot;\ * #,##0.00_-;\-&quot;R$&quot;\ * #,##0.00_-;_-&quot;R$&quot;\ 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R$&quot;\ * #,##0.00_-;\-&quot;R$&quot;\ * #,##0.00_-;_-&quot;R$&quot;\ 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R$&quot;\ * #,##0.00_-;\-&quot;R$&quot;\ * #,##0.00_-;_-&quot;R$&quot;\ 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R$&quot;\ * #,##0.00_-;\-&quot;R$&quot;\ * #,##0.00_-;_-&quot;R$&quot;\ 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R$&quot;\ * #,##0.00_-;\-&quot;R$&quot;\ * #,##0.00_-;_-&quot;R$&quot;\ 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R$&quot;\ * #,##0.00_-;\-&quot;R$&quot;\ * #,##0.00_-;_-&quot;R$&quot;\ 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R$&quot;\ * #,##0.00_-;\-&quot;R$&quot;\ * #,##0.00_-;_-&quot;R$&quot;\ 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R$&quot;\ * #,##0.00_-;\-&quot;R$&quot;\ * #,##0.00_-;_-&quot;R$&quot;\ 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R$&quot;\ * #,##0.00_-;\-&quot;R$&quot;\ * #,##0.00_-;_-&quot;R$&quot;\ 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R$&quot;\ * #,##0.00_-;\-&quot;R$&quot;\ * #,##0.00_-;_-&quot;R$&quot;\ 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R$&quot;\ * #,##0.00_-;\-&quot;R$&quot;\ * #,##0.00_-;_-&quot;R$&quot;\ 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R$&quot;\ * #,##0.00_-;\-&quot;R$&quot;\ * #,##0.00_-;_-&quot;R$&quot;\ 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R$&quot;\ * #,##0.00_-;\-&quot;R$&quot;\ * #,##0.00_-;_-&quot;R$&quot;\ 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R$&quot;\ * #,##0.00_-;\-&quot;R$&quot;\ * #,##0.00_-;_-&quot;R$&quot;\ 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R$&quot;\ * #,##0.00_-;\-&quot;R$&quot;\ * #,##0.00_-;_-&quot;R$&quot;\ 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R$&quot;\ * #,##0.00_-;\-&quot;R$&quot;\ * #,##0.00_-;_-&quot;R$&quot;\ 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R$&quot;\ * #,##0.00_-;\-&quot;R$&quot;\ * #,##0.00_-;_-&quot;R$&quot;\ 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R$&quot;\ * #,##0.00_-;\-&quot;R$&quot;\ * #,##0.00_-;_-&quot;R$&quot;\ 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R$&quot;\ * #,##0.00_-;\-&quot;R$&quot;\ * #,##0.00_-;_-&quot;R$&quot;\ 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R$&quot;\ * #,##0.00_-;\-&quot;R$&quot;\ * #,##0.00_-;_-&quot;R$&quot;\ 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R$&quot;\ * #,##0.00_-;\-&quot;R$&quot;\ * #,##0.00_-;_-&quot;R$&quot;\ 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R$&quot;\ * #,##0.00_-;\-&quot;R$&quot;\ * #,##0.00_-;_-&quot;R$&quot;\ 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R$&quot;\ * #,##0.00_-;\-&quot;R$&quot;\ * #,##0.00_-;_-&quot;R$&quot;\ 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R$&quot;\ * #,##0.00_-;\-&quot;R$&quot;\ * #,##0.00_-;_-&quot;R$&quot;\ 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R$&quot;\ * #,##0.00_-;\-&quot;R$&quot;\ * #,##0.00_-;_-&quot;R$&quot;\ 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R$&quot;\ * #,##0.00_-;\-&quot;R$&quot;\ * #,##0.00_-;_-&quot;R$&quot;\ 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R$&quot;\ * #,##0.00_-;\-&quot;R$&quot;\ * #,##0.00_-;_-&quot;R$&quot;\ 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R$&quot;\ * #,##0.00_-;\-&quot;R$&quot;\ * #,##0.00_-;_-&quot;R$&quot;\ 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R$&quot;\ * #,##0.00_-;\-&quot;R$&quot;\ * #,##0.00_-;_-&quot;R$&quot;\ 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R$&quot;\ * #,##0.00_-;\-&quot;R$&quot;\ * #,##0.00_-;_-&quot;R$&quot;\ 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R$&quot;\ * #,##0.00_-;\-&quot;R$&quot;\ * #,##0.00_-;_-&quot;R$&quot;\ 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R$&quot;\ * #,##0.00_-;\-&quot;R$&quot;\ * #,##0.00_-;_-&quot;R$&quot;\ 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R$&quot;\ * #,##0.00_-;\-&quot;R$&quot;\ * #,##0.00_-;_-&quot;R$&quot;\ 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R$&quot;\ * #,##0.00_-;\-&quot;R$&quot;\ * #,##0.00_-;_-&quot;R$&quot;\ 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R$&quot;\ * #,##0.00_-;\-&quot;R$&quot;\ * #,##0.00_-;_-&quot;R$&quot;\ 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R$&quot;\ * #,##0.00_-;\-&quot;R$&quot;\ * #,##0.00_-;_-&quot;R$&quot;\ 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R$&quot;\ * #,##0.00_-;\-&quot;R$&quot;\ * #,##0.00_-;_-&quot;R$&quot;\ 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R$&quot;\ * #,##0.00_-;\-&quot;R$&quot;\ * #,##0.00_-;_-&quot;R$&quot;\ 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R$&quot;\ * #,##0.00_-;\-&quot;R$&quot;\ * #,##0.00_-;_-&quot;R$&quot;\ 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R$&quot;\ * #,##0.00_-;\-&quot;R$&quot;\ * #,##0.00_-;_-&quot;R$&quot;\ 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R$&quot;\ * #,##0.00_-;\-&quot;R$&quot;\ * #,##0.00_-;_-&quot;R$&quot;\ 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R$&quot;\ * #,##0.00_-;\-&quot;R$&quot;\ * #,##0.00_-;_-&quot;R$&quot;\ 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R$&quot;\ * #,##0.00_-;\-&quot;R$&quot;\ * #,##0.00_-;_-&quot;R$&quot;\ 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R$&quot;\ * #,##0.00_-;\-&quot;R$&quot;\ * #,##0.00_-;_-&quot;R$&quot;\ 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R$&quot;\ * #,##0.00_-;\-&quot;R$&quot;\ * #,##0.00_-;_-&quot;R$&quot;\ 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rgb="FFFFFF89"/>
        </patternFill>
      </fill>
    </dxf>
    <dxf>
      <font>
        <color auto="1"/>
      </font>
      <fill>
        <patternFill>
          <fgColor rgb="FFFF0000"/>
          <bgColor rgb="FFF17961"/>
        </patternFill>
      </fill>
    </dxf>
    <dxf>
      <fill>
        <patternFill>
          <bgColor rgb="FFFFFF89"/>
        </patternFill>
      </fill>
    </dxf>
    <dxf>
      <font>
        <color auto="1"/>
      </font>
      <fill>
        <patternFill>
          <fgColor rgb="FFFF0000"/>
          <bgColor rgb="FFF17961"/>
        </patternFill>
      </fill>
    </dxf>
    <dxf>
      <fill>
        <patternFill>
          <bgColor rgb="FFFFFF89"/>
        </patternFill>
      </fill>
    </dxf>
    <dxf>
      <font>
        <color auto="1"/>
      </font>
      <fill>
        <patternFill>
          <fgColor rgb="FFFF0000"/>
          <bgColor rgb="FFF17961"/>
        </patternFill>
      </fill>
    </dxf>
    <dxf>
      <font>
        <b/>
        <sz val="11"/>
        <color theme="1"/>
      </font>
    </dxf>
    <dxf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1" defaultTableStyle="TableStyleMedium2" defaultPivotStyle="PivotStyleLight16">
    <tableStyle name="Estilo de Linha do Tempo 1" pivot="0" table="0" count="8" xr9:uid="{7610665F-F6A0-4714-8972-766857B38441}">
      <tableStyleElement type="wholeTable" dxfId="722"/>
      <tableStyleElement type="headerRow" dxfId="721"/>
    </tableStyle>
  </tableStyles>
  <colors>
    <mruColors>
      <color rgb="FFFFFF89"/>
      <color rgb="FFF17961"/>
      <color rgb="FFB6F99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9" tint="-0.499984740745262"/>
            <name val="Calibri"/>
            <family val="2"/>
            <scheme val="minor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Estilo de Linha do Tempo 1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11/relationships/timelineCache" Target="timelineCaches/timelineCach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[Controle-de-Rotas-Transportes.xlsx]Tabelas Dinâmicas!Tabela dinâmica4</c:name>
    <c:fmtId val="1"/>
  </c:pivotSource>
  <c:chart>
    <c:autoTitleDeleted val="1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'Tabelas Dinâmicas'!$B$10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DD4-46A5-B67B-039699FA58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DD4-46A5-B67B-039699FA58B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DD4-46A5-B67B-039699FA58B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'Tabelas Dinâmicas'!$A$11:$A$14</c:f>
              <c:strCache>
                <c:ptCount val="3"/>
                <c:pt idx="0">
                  <c:v>Caminhão Baú</c:v>
                </c:pt>
                <c:pt idx="1">
                  <c:v>Caminhão Frigorífico</c:v>
                </c:pt>
                <c:pt idx="2">
                  <c:v>Utilitário Pequeno</c:v>
                </c:pt>
              </c:strCache>
            </c:strRef>
          </c:cat>
          <c:val>
            <c:numRef>
              <c:f>'Tabelas Dinâmicas'!$B$11:$B$14</c:f>
              <c:numCache>
                <c:formatCode>_("R$"* #,##0.00_);_("R$"* \(#,##0.00\);_("R$"* "-"??_);_(@_)</c:formatCode>
                <c:ptCount val="3"/>
                <c:pt idx="0">
                  <c:v>5316.2790697674418</c:v>
                </c:pt>
                <c:pt idx="1">
                  <c:v>8330.1311953352779</c:v>
                </c:pt>
                <c:pt idx="2">
                  <c:v>12030.796978704524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C7-4C72-9872-8CCE8DE7364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[Controle-de-Rotas-Transportes.xlsx]Tabelas Dinâmicas!Tabela dinâmica5</c:name>
    <c:fmtId val="1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5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layout>
            <c:manualLayout>
              <c:x val="-5.9737156511351155E-3"/>
              <c:y val="-9.28074245939674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6353046594982079"/>
                  <c:h val="8.1090487238979117E-2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6449872529374687"/>
          <c:y val="0.11902369512395637"/>
          <c:w val="0.783502667005334"/>
          <c:h val="0.526876396830906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'Tabelas Dinâmicas'!$E$10</c:f>
              <c:strCache>
                <c:ptCount val="1"/>
                <c:pt idx="0">
                  <c:v>Soma de Peso (Kg)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'Tabelas Dinâmicas'!$D$11:$D$19</c:f>
              <c:strCache>
                <c:ptCount val="8"/>
                <c:pt idx="0">
                  <c:v>Artigos de Papelaria</c:v>
                </c:pt>
                <c:pt idx="1">
                  <c:v>Carne Congelada</c:v>
                </c:pt>
                <c:pt idx="2">
                  <c:v>Celulares</c:v>
                </c:pt>
                <c:pt idx="3">
                  <c:v>Informática</c:v>
                </c:pt>
                <c:pt idx="4">
                  <c:v>Insumos</c:v>
                </c:pt>
                <c:pt idx="5">
                  <c:v>Linha Branca</c:v>
                </c:pt>
                <c:pt idx="6">
                  <c:v>Livros</c:v>
                </c:pt>
                <c:pt idx="7">
                  <c:v>TVs</c:v>
                </c:pt>
              </c:strCache>
            </c:strRef>
          </c:cat>
          <c:val>
            <c:numRef>
              <c:f>'Tabelas Dinâmicas'!$E$11:$E$19</c:f>
              <c:numCache>
                <c:formatCode>General</c:formatCode>
                <c:ptCount val="8"/>
                <c:pt idx="0">
                  <c:v>227</c:v>
                </c:pt>
                <c:pt idx="1">
                  <c:v>1193</c:v>
                </c:pt>
                <c:pt idx="2">
                  <c:v>5</c:v>
                </c:pt>
                <c:pt idx="3">
                  <c:v>55</c:v>
                </c:pt>
                <c:pt idx="4">
                  <c:v>76</c:v>
                </c:pt>
                <c:pt idx="5">
                  <c:v>1270</c:v>
                </c:pt>
                <c:pt idx="6">
                  <c:v>39</c:v>
                </c:pt>
                <c:pt idx="7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04-464E-9128-FF5B9437D4D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75484576"/>
        <c:axId val="475487200"/>
      </c:barChart>
      <c:lineChart>
        <c:grouping val="standard"/>
        <c:varyColors val="0"/>
        <c:ser>
          <c:idx val="1"/>
          <c:order val="1"/>
          <c:tx>
            <c:strRef>
              <c:f>'Tabelas Dinâmicas'!$F$10</c:f>
              <c:strCache>
                <c:ptCount val="1"/>
                <c:pt idx="0">
                  <c:v>Contagem de Destino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dPt>
            <c:idx val="7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3175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E004-464E-9128-FF5B9437D4D0}"/>
              </c:ext>
            </c:extLst>
          </c:dPt>
          <c:dLbls>
            <c:dLbl>
              <c:idx val="7"/>
              <c:layout>
                <c:manualLayout>
                  <c:x val="-5.9737156511351155E-3"/>
                  <c:y val="-9.280742459396744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353046594982079"/>
                      <c:h val="8.109048723897911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E004-464E-9128-FF5B9437D4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'Tabelas Dinâmicas'!$D$11:$D$19</c:f>
              <c:strCache>
                <c:ptCount val="8"/>
                <c:pt idx="0">
                  <c:v>Artigos de Papelaria</c:v>
                </c:pt>
                <c:pt idx="1">
                  <c:v>Carne Congelada</c:v>
                </c:pt>
                <c:pt idx="2">
                  <c:v>Celulares</c:v>
                </c:pt>
                <c:pt idx="3">
                  <c:v>Informática</c:v>
                </c:pt>
                <c:pt idx="4">
                  <c:v>Insumos</c:v>
                </c:pt>
                <c:pt idx="5">
                  <c:v>Linha Branca</c:v>
                </c:pt>
                <c:pt idx="6">
                  <c:v>Livros</c:v>
                </c:pt>
                <c:pt idx="7">
                  <c:v>TVs</c:v>
                </c:pt>
              </c:strCache>
            </c:strRef>
          </c:cat>
          <c:val>
            <c:numRef>
              <c:f>'Tabelas Dinâmicas'!$F$11:$F$19</c:f>
              <c:numCache>
                <c:formatCode>General</c:formatCode>
                <c:ptCount val="8"/>
                <c:pt idx="0">
                  <c:v>9</c:v>
                </c:pt>
                <c:pt idx="1">
                  <c:v>5</c:v>
                </c:pt>
                <c:pt idx="2">
                  <c:v>2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04-464E-9128-FF5B9437D4D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75479320"/>
        <c:axId val="475478336"/>
      </c:lineChart>
      <c:catAx>
        <c:axId val="47548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5487200"/>
        <c:crosses val="autoZero"/>
        <c:auto val="1"/>
        <c:lblAlgn val="ctr"/>
        <c:lblOffset val="100"/>
        <c:noMultiLvlLbl val="0"/>
      </c:catAx>
      <c:valAx>
        <c:axId val="47548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(Kg)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5484576"/>
        <c:crosses val="autoZero"/>
        <c:crossBetween val="between"/>
      </c:valAx>
      <c:valAx>
        <c:axId val="475478336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5479320"/>
        <c:crosses val="max"/>
        <c:crossBetween val="between"/>
      </c:valAx>
      <c:catAx>
        <c:axId val="4754793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754783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[Controle-de-Rotas-Transportes.xlsx]Tabelas Dinâmicas!Tabela dinâmica4</c:name>
    <c:fmtId val="3"/>
  </c:pivotSource>
  <c:chart>
    <c:autoTitleDeleted val="1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'Tabelas Dinâmicas'!$B$10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A65-4E13-8697-293F40A5D0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A65-4E13-8697-293F40A5D0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A65-4E13-8697-293F40A5D0D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'Tabelas Dinâmicas'!$A$11:$A$14</c:f>
              <c:strCache>
                <c:ptCount val="3"/>
                <c:pt idx="0">
                  <c:v>Caminhão Baú</c:v>
                </c:pt>
                <c:pt idx="1">
                  <c:v>Caminhão Frigorífico</c:v>
                </c:pt>
                <c:pt idx="2">
                  <c:v>Utilitário Pequeno</c:v>
                </c:pt>
              </c:strCache>
            </c:strRef>
          </c:cat>
          <c:val>
            <c:numRef>
              <c:f>'Tabelas Dinâmicas'!$B$11:$B$14</c:f>
              <c:numCache>
                <c:formatCode>_("R$"* #,##0.00_);_("R$"* \(#,##0.00\);_("R$"* "-"??_);_(@_)</c:formatCode>
                <c:ptCount val="3"/>
                <c:pt idx="0">
                  <c:v>5316.2790697674418</c:v>
                </c:pt>
                <c:pt idx="1">
                  <c:v>8330.1311953352779</c:v>
                </c:pt>
                <c:pt idx="2">
                  <c:v>12030.796978704524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65-4E13-8697-293F40A5D0D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[Controle-de-Rotas-Transportes.xlsx]Tabelas Dinâmicas!Tabela dinâmica5</c:name>
    <c:fmtId val="3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2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layout>
            <c:manualLayout>
              <c:x val="-5.9737156511351155E-3"/>
              <c:y val="-9.28074245939674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6353046594982079"/>
                  <c:h val="8.1090487238979117E-2"/>
                </c:manualLayout>
              </c15:layout>
            </c:ext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2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layout>
            <c:manualLayout>
              <c:x val="-5.9737156511351155E-3"/>
              <c:y val="-9.28074245939674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6353046594982079"/>
                  <c:h val="8.1090487238979117E-2"/>
                </c:manualLayout>
              </c15:layout>
            </c:ext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layout>
            <c:manualLayout>
              <c:x val="-5.9737156511351155E-3"/>
              <c:y val="-9.28074245939674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6353046594982079"/>
                  <c:h val="8.1090487238979117E-2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6449872529374687"/>
          <c:y val="0.11902369512395637"/>
          <c:w val="0.783502667005334"/>
          <c:h val="0.526876396830906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'Tabelas Dinâmicas'!$E$10</c:f>
              <c:strCache>
                <c:ptCount val="1"/>
                <c:pt idx="0">
                  <c:v>Soma de Peso (Kg)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'Tabelas Dinâmicas'!$D$11:$D$19</c:f>
              <c:strCache>
                <c:ptCount val="8"/>
                <c:pt idx="0">
                  <c:v>Artigos de Papelaria</c:v>
                </c:pt>
                <c:pt idx="1">
                  <c:v>Carne Congelada</c:v>
                </c:pt>
                <c:pt idx="2">
                  <c:v>Celulares</c:v>
                </c:pt>
                <c:pt idx="3">
                  <c:v>Informática</c:v>
                </c:pt>
                <c:pt idx="4">
                  <c:v>Insumos</c:v>
                </c:pt>
                <c:pt idx="5">
                  <c:v>Linha Branca</c:v>
                </c:pt>
                <c:pt idx="6">
                  <c:v>Livros</c:v>
                </c:pt>
                <c:pt idx="7">
                  <c:v>TVs</c:v>
                </c:pt>
              </c:strCache>
            </c:strRef>
          </c:cat>
          <c:val>
            <c:numRef>
              <c:f>'Tabelas Dinâmicas'!$E$11:$E$19</c:f>
              <c:numCache>
                <c:formatCode>General</c:formatCode>
                <c:ptCount val="8"/>
                <c:pt idx="0">
                  <c:v>227</c:v>
                </c:pt>
                <c:pt idx="1">
                  <c:v>1193</c:v>
                </c:pt>
                <c:pt idx="2">
                  <c:v>5</c:v>
                </c:pt>
                <c:pt idx="3">
                  <c:v>55</c:v>
                </c:pt>
                <c:pt idx="4">
                  <c:v>76</c:v>
                </c:pt>
                <c:pt idx="5">
                  <c:v>1270</c:v>
                </c:pt>
                <c:pt idx="6">
                  <c:v>39</c:v>
                </c:pt>
                <c:pt idx="7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E4-492D-AA0B-D8653DD44E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75484576"/>
        <c:axId val="475487200"/>
      </c:barChart>
      <c:lineChart>
        <c:grouping val="standard"/>
        <c:varyColors val="0"/>
        <c:ser>
          <c:idx val="1"/>
          <c:order val="1"/>
          <c:tx>
            <c:strRef>
              <c:f>'Tabelas Dinâmicas'!$F$10</c:f>
              <c:strCache>
                <c:ptCount val="1"/>
                <c:pt idx="0">
                  <c:v>Contagem de Destino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dPt>
            <c:idx val="7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5E4-492D-AA0B-D8653DD44EC9}"/>
              </c:ext>
            </c:extLst>
          </c:dPt>
          <c:dLbls>
            <c:dLbl>
              <c:idx val="7"/>
              <c:layout>
                <c:manualLayout>
                  <c:x val="-5.9737156511351155E-3"/>
                  <c:y val="-9.280742459396744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353046594982079"/>
                      <c:h val="8.109048723897911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5E4-492D-AA0B-D8653DD44E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'Tabelas Dinâmicas'!$D$11:$D$19</c:f>
              <c:strCache>
                <c:ptCount val="8"/>
                <c:pt idx="0">
                  <c:v>Artigos de Papelaria</c:v>
                </c:pt>
                <c:pt idx="1">
                  <c:v>Carne Congelada</c:v>
                </c:pt>
                <c:pt idx="2">
                  <c:v>Celulares</c:v>
                </c:pt>
                <c:pt idx="3">
                  <c:v>Informática</c:v>
                </c:pt>
                <c:pt idx="4">
                  <c:v>Insumos</c:v>
                </c:pt>
                <c:pt idx="5">
                  <c:v>Linha Branca</c:v>
                </c:pt>
                <c:pt idx="6">
                  <c:v>Livros</c:v>
                </c:pt>
                <c:pt idx="7">
                  <c:v>TVs</c:v>
                </c:pt>
              </c:strCache>
            </c:strRef>
          </c:cat>
          <c:val>
            <c:numRef>
              <c:f>'Tabelas Dinâmicas'!$F$11:$F$19</c:f>
              <c:numCache>
                <c:formatCode>General</c:formatCode>
                <c:ptCount val="8"/>
                <c:pt idx="0">
                  <c:v>9</c:v>
                </c:pt>
                <c:pt idx="1">
                  <c:v>5</c:v>
                </c:pt>
                <c:pt idx="2">
                  <c:v>2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E4-492D-AA0B-D8653DD44EC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75479320"/>
        <c:axId val="475478336"/>
      </c:lineChart>
      <c:catAx>
        <c:axId val="47548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5487200"/>
        <c:crosses val="autoZero"/>
        <c:auto val="1"/>
        <c:lblAlgn val="ctr"/>
        <c:lblOffset val="100"/>
        <c:noMultiLvlLbl val="0"/>
      </c:catAx>
      <c:valAx>
        <c:axId val="47548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(Kg)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5484576"/>
        <c:crosses val="autoZero"/>
        <c:crossBetween val="between"/>
      </c:valAx>
      <c:valAx>
        <c:axId val="475478336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5479320"/>
        <c:crosses val="max"/>
        <c:crossBetween val="between"/>
      </c:valAx>
      <c:catAx>
        <c:axId val="4754793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754783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[Controle-de-Rotas-Transportes.xlsx]Tabelas Dinâmicas!Tabela dinâmica4</c:name>
    <c:fmtId val="5"/>
  </c:pivotSource>
  <c:chart>
    <c:autoTitleDeleted val="1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'Tabelas Dinâmicas'!$B$10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A2D-49B6-B906-76016BE67EB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A2D-49B6-B906-76016BE67EB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A2D-49B6-B906-76016BE67EB0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'Tabelas Dinâmicas'!$A$11:$A$14</c:f>
              <c:strCache>
                <c:ptCount val="3"/>
                <c:pt idx="0">
                  <c:v>Caminhão Baú</c:v>
                </c:pt>
                <c:pt idx="1">
                  <c:v>Caminhão Frigorífico</c:v>
                </c:pt>
                <c:pt idx="2">
                  <c:v>Utilitário Pequeno</c:v>
                </c:pt>
              </c:strCache>
            </c:strRef>
          </c:cat>
          <c:val>
            <c:numRef>
              <c:f>'Tabelas Dinâmicas'!$B$11:$B$14</c:f>
              <c:numCache>
                <c:formatCode>_("R$"* #,##0.00_);_("R$"* \(#,##0.00\);_("R$"* "-"??_);_(@_)</c:formatCode>
                <c:ptCount val="3"/>
                <c:pt idx="0">
                  <c:v>5316.2790697674418</c:v>
                </c:pt>
                <c:pt idx="1">
                  <c:v>8330.1311953352779</c:v>
                </c:pt>
                <c:pt idx="2">
                  <c:v>12030.796978704524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A2D-49B6-B906-76016BE67EB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[Controle-de-Rotas-Transportes.xlsx]Tabelas Dinâmicas!Tabela dinâmica5</c:name>
    <c:fmtId val="5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2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layout>
            <c:manualLayout>
              <c:x val="-5.9737156511351155E-3"/>
              <c:y val="-9.28074245939674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6353046594982079"/>
                  <c:h val="8.1090487238979117E-2"/>
                </c:manualLayout>
              </c15:layout>
            </c:ext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2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layout>
            <c:manualLayout>
              <c:x val="-5.9737156511351155E-3"/>
              <c:y val="-9.28074245939674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6353046594982079"/>
                  <c:h val="8.1090487238979117E-2"/>
                </c:manualLayout>
              </c15:layout>
            </c:ext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layout>
            <c:manualLayout>
              <c:x val="-5.9737156511351155E-3"/>
              <c:y val="-9.28074245939674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6353046594982079"/>
                  <c:h val="8.1090487238979117E-2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6449872529374687"/>
          <c:y val="0.11902369512395637"/>
          <c:w val="0.783502667005334"/>
          <c:h val="0.526876396830906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'Tabelas Dinâmicas'!$E$10</c:f>
              <c:strCache>
                <c:ptCount val="1"/>
                <c:pt idx="0">
                  <c:v>Soma de Peso (Kg)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'Tabelas Dinâmicas'!$D$11:$D$19</c:f>
              <c:strCache>
                <c:ptCount val="8"/>
                <c:pt idx="0">
                  <c:v>Artigos de Papelaria</c:v>
                </c:pt>
                <c:pt idx="1">
                  <c:v>Carne Congelada</c:v>
                </c:pt>
                <c:pt idx="2">
                  <c:v>Celulares</c:v>
                </c:pt>
                <c:pt idx="3">
                  <c:v>Informática</c:v>
                </c:pt>
                <c:pt idx="4">
                  <c:v>Insumos</c:v>
                </c:pt>
                <c:pt idx="5">
                  <c:v>Linha Branca</c:v>
                </c:pt>
                <c:pt idx="6">
                  <c:v>Livros</c:v>
                </c:pt>
                <c:pt idx="7">
                  <c:v>TVs</c:v>
                </c:pt>
              </c:strCache>
            </c:strRef>
          </c:cat>
          <c:val>
            <c:numRef>
              <c:f>'Tabelas Dinâmicas'!$E$11:$E$19</c:f>
              <c:numCache>
                <c:formatCode>General</c:formatCode>
                <c:ptCount val="8"/>
                <c:pt idx="0">
                  <c:v>227</c:v>
                </c:pt>
                <c:pt idx="1">
                  <c:v>1193</c:v>
                </c:pt>
                <c:pt idx="2">
                  <c:v>5</c:v>
                </c:pt>
                <c:pt idx="3">
                  <c:v>55</c:v>
                </c:pt>
                <c:pt idx="4">
                  <c:v>76</c:v>
                </c:pt>
                <c:pt idx="5">
                  <c:v>1270</c:v>
                </c:pt>
                <c:pt idx="6">
                  <c:v>39</c:v>
                </c:pt>
                <c:pt idx="7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92-413E-BFF6-7A8615FA99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75484576"/>
        <c:axId val="475487200"/>
      </c:barChart>
      <c:lineChart>
        <c:grouping val="standard"/>
        <c:varyColors val="0"/>
        <c:ser>
          <c:idx val="1"/>
          <c:order val="1"/>
          <c:tx>
            <c:strRef>
              <c:f>'Tabelas Dinâmicas'!$F$10</c:f>
              <c:strCache>
                <c:ptCount val="1"/>
                <c:pt idx="0">
                  <c:v>Contagem de Destino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dPt>
            <c:idx val="7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A92-413E-BFF6-7A8615FA9975}"/>
              </c:ext>
            </c:extLst>
          </c:dPt>
          <c:dLbls>
            <c:dLbl>
              <c:idx val="7"/>
              <c:layout>
                <c:manualLayout>
                  <c:x val="-5.9737156511351155E-3"/>
                  <c:y val="-9.280742459396744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353046594982079"/>
                      <c:h val="8.109048723897911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A92-413E-BFF6-7A8615FA997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'Tabelas Dinâmicas'!$D$11:$D$19</c:f>
              <c:strCache>
                <c:ptCount val="8"/>
                <c:pt idx="0">
                  <c:v>Artigos de Papelaria</c:v>
                </c:pt>
                <c:pt idx="1">
                  <c:v>Carne Congelada</c:v>
                </c:pt>
                <c:pt idx="2">
                  <c:v>Celulares</c:v>
                </c:pt>
                <c:pt idx="3">
                  <c:v>Informática</c:v>
                </c:pt>
                <c:pt idx="4">
                  <c:v>Insumos</c:v>
                </c:pt>
                <c:pt idx="5">
                  <c:v>Linha Branca</c:v>
                </c:pt>
                <c:pt idx="6">
                  <c:v>Livros</c:v>
                </c:pt>
                <c:pt idx="7">
                  <c:v>TVs</c:v>
                </c:pt>
              </c:strCache>
            </c:strRef>
          </c:cat>
          <c:val>
            <c:numRef>
              <c:f>'Tabelas Dinâmicas'!$F$11:$F$19</c:f>
              <c:numCache>
                <c:formatCode>General</c:formatCode>
                <c:ptCount val="8"/>
                <c:pt idx="0">
                  <c:v>9</c:v>
                </c:pt>
                <c:pt idx="1">
                  <c:v>5</c:v>
                </c:pt>
                <c:pt idx="2">
                  <c:v>2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92-413E-BFF6-7A8615FA997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75479320"/>
        <c:axId val="475478336"/>
      </c:lineChart>
      <c:catAx>
        <c:axId val="47548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5487200"/>
        <c:crosses val="autoZero"/>
        <c:auto val="1"/>
        <c:lblAlgn val="ctr"/>
        <c:lblOffset val="100"/>
        <c:noMultiLvlLbl val="0"/>
      </c:catAx>
      <c:valAx>
        <c:axId val="47548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(Kg)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5484576"/>
        <c:crosses val="autoZero"/>
        <c:crossBetween val="between"/>
      </c:valAx>
      <c:valAx>
        <c:axId val="475478336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5479320"/>
        <c:crosses val="max"/>
        <c:crossBetween val="between"/>
      </c:valAx>
      <c:catAx>
        <c:axId val="4754793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754783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30481</xdr:rowOff>
    </xdr:from>
    <xdr:to>
      <xdr:col>1</xdr:col>
      <xdr:colOff>1143000</xdr:colOff>
      <xdr:row>7</xdr:row>
      <xdr:rowOff>137160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">
              <a:extLst>
                <a:ext uri="{FF2B5EF4-FFF2-40B4-BE49-F238E27FC236}">
                  <a16:creationId xmlns:a16="http://schemas.microsoft.com/office/drawing/2014/main" id="{8B2EED9D-BF9E-486F-A3B8-6E5581B6C5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060" y="30481"/>
              <a:ext cx="2286000" cy="13868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1112520</xdr:colOff>
      <xdr:row>0</xdr:row>
      <xdr:rowOff>30480</xdr:rowOff>
    </xdr:from>
    <xdr:to>
      <xdr:col>15</xdr:col>
      <xdr:colOff>137160</xdr:colOff>
      <xdr:row>7</xdr:row>
      <xdr:rowOff>121920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" name="Data Contrato">
              <a:extLst>
                <a:ext uri="{FF2B5EF4-FFF2-40B4-BE49-F238E27FC236}">
                  <a16:creationId xmlns:a16="http://schemas.microsoft.com/office/drawing/2014/main" id="{95C7CE58-8105-4F9D-A01B-024496D222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a Contra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93620" y="30480"/>
              <a:ext cx="1029462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</xdr:colOff>
      <xdr:row>2</xdr:row>
      <xdr:rowOff>22860</xdr:rowOff>
    </xdr:from>
    <xdr:to>
      <xdr:col>16</xdr:col>
      <xdr:colOff>594360</xdr:colOff>
      <xdr:row>19</xdr:row>
      <xdr:rowOff>167640</xdr:rowOff>
    </xdr:to>
    <xdr:graphicFrame macro="">
      <xdr:nvGraphicFramePr>
        <xdr:cNvPr id="2" name="Gráfico 4">
          <a:extLst>
            <a:ext uri="{FF2B5EF4-FFF2-40B4-BE49-F238E27FC236}">
              <a16:creationId xmlns:a16="http://schemas.microsoft.com/office/drawing/2014/main" id="{6E654FEA-6E7E-4425-B31B-EBE17FB4A1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</xdr:row>
      <xdr:rowOff>7620</xdr:rowOff>
    </xdr:from>
    <xdr:to>
      <xdr:col>7</xdr:col>
      <xdr:colOff>594360</xdr:colOff>
      <xdr:row>19</xdr:row>
      <xdr:rowOff>167640</xdr:rowOff>
    </xdr:to>
    <xdr:graphicFrame macro="">
      <xdr:nvGraphicFramePr>
        <xdr:cNvPr id="3" name="Gráfico 3">
          <a:extLst>
            <a:ext uri="{FF2B5EF4-FFF2-40B4-BE49-F238E27FC236}">
              <a16:creationId xmlns:a16="http://schemas.microsoft.com/office/drawing/2014/main" id="{5F906840-71DD-4737-874A-E4E613AE72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20</xdr:row>
      <xdr:rowOff>15240</xdr:rowOff>
    </xdr:from>
    <xdr:to>
      <xdr:col>68</xdr:col>
      <xdr:colOff>411480</xdr:colOff>
      <xdr:row>25</xdr:row>
      <xdr:rowOff>22860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4" name="Data Contrato 1">
              <a:extLst>
                <a:ext uri="{FF2B5EF4-FFF2-40B4-BE49-F238E27FC236}">
                  <a16:creationId xmlns:a16="http://schemas.microsoft.com/office/drawing/2014/main" id="{5CE82167-2125-4D23-93DC-8DD9A88F7CF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a Contrat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665220"/>
              <a:ext cx="10774680" cy="9220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  <xdr:twoCellAnchor>
    <xdr:from>
      <xdr:col>27</xdr:col>
      <xdr:colOff>7620</xdr:colOff>
      <xdr:row>2</xdr:row>
      <xdr:rowOff>7620</xdr:rowOff>
    </xdr:from>
    <xdr:to>
      <xdr:col>34</xdr:col>
      <xdr:colOff>594360</xdr:colOff>
      <xdr:row>19</xdr:row>
      <xdr:rowOff>160020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6E9AE14-3DF8-4593-B6DB-BF6BE3C3DB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0</xdr:colOff>
      <xdr:row>2</xdr:row>
      <xdr:rowOff>7620</xdr:rowOff>
    </xdr:from>
    <xdr:to>
      <xdr:col>25</xdr:col>
      <xdr:colOff>594360</xdr:colOff>
      <xdr:row>19</xdr:row>
      <xdr:rowOff>167640</xdr:rowOff>
    </xdr:to>
    <xdr:graphicFrame macro="">
      <xdr:nvGraphicFramePr>
        <xdr:cNvPr id="6" name="Gráfico 3">
          <a:extLst>
            <a:ext uri="{FF2B5EF4-FFF2-40B4-BE49-F238E27FC236}">
              <a16:creationId xmlns:a16="http://schemas.microsoft.com/office/drawing/2014/main" id="{4CC83328-A587-42CB-B0EE-4C54959FB8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44</xdr:col>
      <xdr:colOff>7620</xdr:colOff>
      <xdr:row>2</xdr:row>
      <xdr:rowOff>7620</xdr:rowOff>
    </xdr:from>
    <xdr:to>
      <xdr:col>51</xdr:col>
      <xdr:colOff>594360</xdr:colOff>
      <xdr:row>19</xdr:row>
      <xdr:rowOff>160020</xdr:rowOff>
    </xdr:to>
    <xdr:graphicFrame macro="">
      <xdr:nvGraphicFramePr>
        <xdr:cNvPr id="7" name="Gráfico 4">
          <a:extLst>
            <a:ext uri="{FF2B5EF4-FFF2-40B4-BE49-F238E27FC236}">
              <a16:creationId xmlns:a16="http://schemas.microsoft.com/office/drawing/2014/main" id="{4F99FA12-6E48-403A-B1AD-5C7D957F54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36</xdr:col>
      <xdr:colOff>0</xdr:colOff>
      <xdr:row>2</xdr:row>
      <xdr:rowOff>7620</xdr:rowOff>
    </xdr:from>
    <xdr:to>
      <xdr:col>42</xdr:col>
      <xdr:colOff>594360</xdr:colOff>
      <xdr:row>19</xdr:row>
      <xdr:rowOff>167640</xdr:rowOff>
    </xdr:to>
    <xdr:graphicFrame macro="">
      <xdr:nvGraphicFramePr>
        <xdr:cNvPr id="8" name="Gráfico 3">
          <a:extLst>
            <a:ext uri="{FF2B5EF4-FFF2-40B4-BE49-F238E27FC236}">
              <a16:creationId xmlns:a16="http://schemas.microsoft.com/office/drawing/2014/main" id="{46C15514-528F-4969-AEE9-B993F21277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4275.704651273147" createdVersion="6" refreshedVersion="6" minRefreshableVersion="3" recordCount="30" xr:uid="{6BBCD99F-CC21-4AF8-A928-64A10F5478C6}">
  <cacheSource type="worksheet">
    <worksheetSource name="OrigemDinamica"/>
  </cacheSource>
  <cacheFields count="13">
    <cacheField name="Cliente" numFmtId="0">
      <sharedItems count="5">
        <s v="Livraria Várias Letras"/>
        <s v="Figrorífico Muito Frio"/>
        <s v="Tecnologia Antiga"/>
        <s v="Eletrônicos Magazine Suíça"/>
        <s v="Papelaria Sem Papel"/>
      </sharedItems>
    </cacheField>
    <cacheField name="Data Contrato" numFmtId="14">
      <sharedItems containsSemiMixedTypes="0" containsNonDate="0" containsDate="1" containsString="0" minDate="2019-03-01T00:00:00" maxDate="2020-01-23T00:00:00" count="27">
        <d v="2019-03-01T00:00:00"/>
        <d v="2019-04-15T00:00:00"/>
        <d v="2019-04-20T00:00:00"/>
        <d v="2019-10-06T00:00:00"/>
        <d v="2019-11-10T00:00:00"/>
        <d v="2019-12-11T00:00:00"/>
        <d v="2019-04-02T00:00:00"/>
        <d v="2019-05-03T00:00:00"/>
        <d v="2019-05-09T00:00:00"/>
        <d v="2019-05-20T00:00:00"/>
        <d v="2019-07-17T00:00:00"/>
        <d v="2019-07-06T00:00:00"/>
        <d v="2019-08-10T00:00:00"/>
        <d v="2019-08-15T00:00:00"/>
        <d v="2019-10-20T00:00:00"/>
        <d v="2019-12-01T00:00:00"/>
        <d v="2020-01-03T00:00:00"/>
        <d v="2020-01-15T00:00:00"/>
        <d v="2019-09-06T00:00:00"/>
        <d v="2019-10-15T00:00:00"/>
        <d v="2019-12-20T00:00:00"/>
        <d v="2019-04-01T00:00:00"/>
        <d v="2019-05-07T00:00:00"/>
        <d v="2019-11-30T00:00:00"/>
        <d v="2019-12-07T00:00:00"/>
        <d v="2020-01-10T00:00:00"/>
        <d v="2020-01-22T00:00:00"/>
      </sharedItems>
    </cacheField>
    <cacheField name="Status do Contrato" numFmtId="0">
      <sharedItems/>
    </cacheField>
    <cacheField name="Valor do Contrato" numFmtId="44">
      <sharedItems containsSemiMixedTypes="0" containsString="0" containsNumber="1" minValue="80" maxValue="2395"/>
    </cacheField>
    <cacheField name="Carga" numFmtId="0">
      <sharedItems count="8">
        <s v="Insumos"/>
        <s v="Livros"/>
        <s v="Carne Congelada"/>
        <s v="Informática"/>
        <s v="TVs"/>
        <s v="Celulares"/>
        <s v="Linha Branca"/>
        <s v="Artigos de Papelaria"/>
      </sharedItems>
    </cacheField>
    <cacheField name="Peso (Kg)" numFmtId="0">
      <sharedItems containsSemiMixedTypes="0" containsString="0" containsNumber="1" containsInteger="1" minValue="2" maxValue="450"/>
    </cacheField>
    <cacheField name="Tipo de Veículo" numFmtId="0">
      <sharedItems count="3">
        <s v="Utilitário Pequeno"/>
        <s v="Caminhão Frigorífico"/>
        <s v="Caminhão Baú"/>
      </sharedItems>
    </cacheField>
    <cacheField name="Origem" numFmtId="0">
      <sharedItems count="4">
        <s v="MG"/>
        <s v="MT"/>
        <s v="AM"/>
        <s v="SP"/>
      </sharedItems>
    </cacheField>
    <cacheField name="Data de Saída" numFmtId="14">
      <sharedItems containsSemiMixedTypes="0" containsNonDate="0" containsDate="1" containsString="0" minDate="2019-03-05T00:00:00" maxDate="2021-02-23T00:00:00"/>
    </cacheField>
    <cacheField name="Situação da Partida" numFmtId="0">
      <sharedItems/>
    </cacheField>
    <cacheField name="Destino" numFmtId="0">
      <sharedItems/>
    </cacheField>
    <cacheField name="Data de Chegada" numFmtId="14">
      <sharedItems containsSemiMixedTypes="0" containsNonDate="0" containsDate="1" containsString="0" minDate="2019-01-21T00:00:00" maxDate="2021-01-23T00:00:00"/>
    </cacheField>
    <cacheField name="Situação da Chegada" numFmtId="0">
      <sharedItems/>
    </cacheField>
  </cacheFields>
  <extLst>
    <ext xmlns:x14="http://schemas.microsoft.com/office/spreadsheetml/2009/9/main" uri="{725AE2AE-9491-48be-B2B4-4EB974FC3084}">
      <x14:pivotCacheDefinition pivotCacheId="181354917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s v="Encerrado"/>
    <n v="869.32"/>
    <x v="0"/>
    <n v="25"/>
    <x v="0"/>
    <x v="0"/>
    <d v="2019-03-05T00:00:00"/>
    <s v="Finalizada - Em Dia"/>
    <s v="SP"/>
    <d v="2019-03-05T00:00:00"/>
    <s v="Finalizada - Em Dia"/>
  </r>
  <r>
    <x v="0"/>
    <x v="1"/>
    <s v="Encerrado"/>
    <n v="586.32000000000005"/>
    <x v="1"/>
    <n v="16"/>
    <x v="0"/>
    <x v="0"/>
    <d v="2019-04-20T00:00:00"/>
    <s v="Finalizada - Em Dia"/>
    <s v="RJ"/>
    <d v="2019-04-20T00:00:00"/>
    <s v="Finalizada - Em Dia"/>
  </r>
  <r>
    <x v="0"/>
    <x v="2"/>
    <s v="Encerrado"/>
    <n v="256.32"/>
    <x v="1"/>
    <n v="9"/>
    <x v="0"/>
    <x v="0"/>
    <d v="2019-04-20T00:00:00"/>
    <s v="Finalizada - Em Dia"/>
    <s v="RJ"/>
    <d v="2019-04-20T00:00:00"/>
    <s v="Finalizada - Em Dia"/>
  </r>
  <r>
    <x v="0"/>
    <x v="3"/>
    <s v="Encerrado"/>
    <n v="726.32"/>
    <x v="0"/>
    <n v="23"/>
    <x v="0"/>
    <x v="0"/>
    <d v="2019-10-10T00:00:00"/>
    <s v="Finalizada - Atrasada"/>
    <s v="SP"/>
    <d v="2019-10-10T00:00:00"/>
    <s v="Finalizada - Atrasada"/>
  </r>
  <r>
    <x v="0"/>
    <x v="4"/>
    <s v="Aberto"/>
    <n v="452.12"/>
    <x v="1"/>
    <n v="14"/>
    <x v="0"/>
    <x v="0"/>
    <d v="2019-12-20T00:00:00"/>
    <s v="Em Aberto - Atrasada"/>
    <s v="SP"/>
    <d v="2019-12-20T00:00:00"/>
    <s v="Em Aberto - Atrasada"/>
  </r>
  <r>
    <x v="0"/>
    <x v="5"/>
    <s v="Aberto"/>
    <n v="956.32"/>
    <x v="0"/>
    <n v="28"/>
    <x v="0"/>
    <x v="0"/>
    <d v="2019-12-20T00:00:00"/>
    <s v="Em Aberto - Atrasada"/>
    <s v="SP"/>
    <d v="2019-12-20T00:00:00"/>
    <s v="Em Aberto - Atrasada"/>
  </r>
  <r>
    <x v="1"/>
    <x v="6"/>
    <s v="Encerrado"/>
    <n v="2395"/>
    <x v="2"/>
    <n v="343"/>
    <x v="1"/>
    <x v="1"/>
    <d v="2019-04-12T00:00:00"/>
    <s v="Finalizada - Em Dia"/>
    <s v="SP"/>
    <d v="2019-04-15T00:00:00"/>
    <s v="Finalizada - Em Dia"/>
  </r>
  <r>
    <x v="1"/>
    <x v="7"/>
    <s v="Encerrado"/>
    <n v="1745.6268221574344"/>
    <x v="2"/>
    <n v="250"/>
    <x v="1"/>
    <x v="1"/>
    <d v="2019-05-10T00:00:00"/>
    <s v="Finalizada - Em Dia"/>
    <s v="RJ"/>
    <d v="2019-05-13T00:00:00"/>
    <s v="Finalizada - Atrasada"/>
  </r>
  <r>
    <x v="1"/>
    <x v="8"/>
    <s v="Encerrado"/>
    <n v="907.72594752186592"/>
    <x v="2"/>
    <n v="130"/>
    <x v="1"/>
    <x v="1"/>
    <d v="2019-05-10T00:00:00"/>
    <s v="Finalizada - Em Dia"/>
    <s v="RJ"/>
    <d v="2019-05-13T00:00:00"/>
    <s v="Finalizada - Atrasada"/>
  </r>
  <r>
    <x v="1"/>
    <x v="9"/>
    <s v="Encerrado"/>
    <n v="1955.1020408163265"/>
    <x v="2"/>
    <n v="280"/>
    <x v="1"/>
    <x v="1"/>
    <d v="2019-05-22T00:00:00"/>
    <s v="Finalizada - Em Dia"/>
    <s v="SP"/>
    <d v="2019-05-25T00:00:00"/>
    <s v="Finalizada - Em Dia"/>
  </r>
  <r>
    <x v="1"/>
    <x v="10"/>
    <s v="Encerrado"/>
    <n v="1326.6763848396502"/>
    <x v="2"/>
    <n v="190"/>
    <x v="1"/>
    <x v="1"/>
    <d v="2019-07-20T00:00:00"/>
    <s v="Finalizada - Em Dia"/>
    <s v="SP"/>
    <d v="2019-07-23T00:00:00"/>
    <s v="Finalizada - Em Dia"/>
  </r>
  <r>
    <x v="2"/>
    <x v="11"/>
    <s v="Encerrado"/>
    <n v="600"/>
    <x v="3"/>
    <n v="15"/>
    <x v="0"/>
    <x v="2"/>
    <d v="2019-07-07T00:00:00"/>
    <s v="Finalizada - Em Dia"/>
    <s v="BA"/>
    <d v="2019-07-12T00:00:00"/>
    <s v="Finalizada - Em Dia"/>
  </r>
  <r>
    <x v="2"/>
    <x v="12"/>
    <s v="Encerrado"/>
    <n v="920"/>
    <x v="4"/>
    <n v="23"/>
    <x v="0"/>
    <x v="2"/>
    <d v="2019-08-16T00:00:00"/>
    <s v="Finalizada - Em Dia"/>
    <s v="BA"/>
    <d v="2019-07-22T00:00:00"/>
    <s v="Finalizada - Atrasada"/>
  </r>
  <r>
    <x v="2"/>
    <x v="13"/>
    <s v="Encerrado"/>
    <n v="440"/>
    <x v="3"/>
    <n v="11"/>
    <x v="0"/>
    <x v="2"/>
    <d v="2019-08-16T00:00:00"/>
    <s v="Finalizada - Em Dia"/>
    <s v="SP"/>
    <d v="2019-08-23T00:00:00"/>
    <s v="Finalizada - Atrasada"/>
  </r>
  <r>
    <x v="2"/>
    <x v="14"/>
    <s v="Encerrado"/>
    <n v="680"/>
    <x v="3"/>
    <n v="17"/>
    <x v="0"/>
    <x v="2"/>
    <d v="2019-10-22T00:00:00"/>
    <s v="Finalizada - Em Dia"/>
    <s v="MG"/>
    <d v="2019-10-28T00:00:00"/>
    <s v="Finalizada - Em Dia"/>
  </r>
  <r>
    <x v="2"/>
    <x v="15"/>
    <s v="Aberto"/>
    <n v="120"/>
    <x v="5"/>
    <n v="3"/>
    <x v="0"/>
    <x v="2"/>
    <d v="2019-12-05T00:00:00"/>
    <s v="Em Aberto - Atrasada"/>
    <s v="SP"/>
    <d v="2019-12-12T00:00:00"/>
    <s v="Em Aberto - Atrasada"/>
  </r>
  <r>
    <x v="2"/>
    <x v="16"/>
    <s v="Aberto"/>
    <n v="480"/>
    <x v="3"/>
    <n v="12"/>
    <x v="0"/>
    <x v="2"/>
    <d v="2020-01-15T00:00:00"/>
    <s v="Em Aberto - Atrasada"/>
    <s v="SP"/>
    <d v="2019-01-21T00:00:00"/>
    <s v="Em Aberto - Atrasada"/>
  </r>
  <r>
    <x v="2"/>
    <x v="17"/>
    <s v="Aberto"/>
    <n v="80"/>
    <x v="5"/>
    <n v="2"/>
    <x v="0"/>
    <x v="2"/>
    <d v="2020-01-15T00:00:00"/>
    <s v="Em Aberto - Atrasada"/>
    <s v="SP"/>
    <d v="2019-01-21T00:00:00"/>
    <s v="Em Aberto - Atrasada"/>
  </r>
  <r>
    <x v="3"/>
    <x v="18"/>
    <s v="Encerrado"/>
    <n v="1800"/>
    <x v="6"/>
    <n v="430"/>
    <x v="2"/>
    <x v="3"/>
    <d v="2019-09-07T00:00:00"/>
    <s v="Finalizada - Em Dia"/>
    <s v="SP"/>
    <d v="2019-09-07T00:00:00"/>
    <s v="Finalizada - Em Dia"/>
  </r>
  <r>
    <x v="3"/>
    <x v="19"/>
    <s v="Encerrado"/>
    <n v="1883.7209302325582"/>
    <x v="6"/>
    <n v="450"/>
    <x v="2"/>
    <x v="3"/>
    <d v="2019-10-16T00:00:00"/>
    <s v="Finalizada - Em Dia"/>
    <s v="SP"/>
    <d v="2019-10-16T00:00:00"/>
    <s v="Finalizada - Em Dia"/>
  </r>
  <r>
    <x v="3"/>
    <x v="20"/>
    <s v="Aberto"/>
    <n v="1632.5581395348838"/>
    <x v="6"/>
    <n v="390"/>
    <x v="2"/>
    <x v="3"/>
    <d v="2019-12-22T00:00:00"/>
    <s v="Em Aberto - Atrasada"/>
    <s v="SP"/>
    <d v="2019-12-22T00:00:00"/>
    <s v="Em Aberto - Atrasada"/>
  </r>
  <r>
    <x v="4"/>
    <x v="21"/>
    <s v="Encerrado"/>
    <n v="916.12500000000011"/>
    <x v="7"/>
    <n v="25"/>
    <x v="0"/>
    <x v="3"/>
    <d v="2019-04-05T00:00:00"/>
    <s v="Finalizada - Em Dia"/>
    <s v="SP"/>
    <d v="2019-04-05T00:00:00"/>
    <s v="Finalizada - Em Dia"/>
  </r>
  <r>
    <x v="4"/>
    <x v="22"/>
    <s v="Encerrado"/>
    <n v="854.4"/>
    <x v="7"/>
    <n v="30"/>
    <x v="0"/>
    <x v="3"/>
    <d v="2019-05-10T00:00:00"/>
    <s v="Finalizada - Em Dia"/>
    <s v="SP"/>
    <d v="2019-05-10T00:00:00"/>
    <s v="Finalizada - Em Dia"/>
  </r>
  <r>
    <x v="4"/>
    <x v="9"/>
    <s v="Encerrado"/>
    <n v="884.2156521739131"/>
    <x v="7"/>
    <n v="28"/>
    <x v="0"/>
    <x v="3"/>
    <d v="2019-05-22T00:00:00"/>
    <s v="Finalizada - Em Dia"/>
    <s v="SP"/>
    <d v="2019-05-22T00:00:00"/>
    <s v="Finalizada - Em Dia"/>
  </r>
  <r>
    <x v="4"/>
    <x v="23"/>
    <s v="Encerrado"/>
    <n v="645.88571428571424"/>
    <x v="7"/>
    <n v="20"/>
    <x v="0"/>
    <x v="3"/>
    <d v="2019-12-05T00:00:00"/>
    <s v="Finalizada - Em Dia"/>
    <s v="SP"/>
    <d v="2019-12-05T00:00:00"/>
    <s v="Finalizada - Em Dia"/>
  </r>
  <r>
    <x v="4"/>
    <x v="24"/>
    <s v="Aberto"/>
    <n v="614.77714285714285"/>
    <x v="7"/>
    <n v="18"/>
    <x v="0"/>
    <x v="3"/>
    <d v="2019-12-09T00:00:00"/>
    <s v="Em Aberto - Atrasada"/>
    <s v="SP"/>
    <d v="2019-12-09T00:00:00"/>
    <s v="Em Aberto - Atrasada"/>
  </r>
  <r>
    <x v="4"/>
    <x v="25"/>
    <s v="Aberto"/>
    <n v="174.56268221574345"/>
    <x v="7"/>
    <n v="25"/>
    <x v="0"/>
    <x v="3"/>
    <d v="2020-01-12T00:00:00"/>
    <s v="Em Aberto - Atrasada"/>
    <s v="SP"/>
    <d v="2020-01-12T00:00:00"/>
    <s v="Em Aberto - Atrasada"/>
  </r>
  <r>
    <x v="4"/>
    <x v="26"/>
    <s v="Aberto"/>
    <n v="251.37026239067058"/>
    <x v="7"/>
    <n v="36"/>
    <x v="0"/>
    <x v="3"/>
    <d v="2020-01-24T00:00:00"/>
    <s v="Em Aberto - Atrasada"/>
    <s v="SP"/>
    <d v="2020-01-24T00:00:00"/>
    <s v="Em Aberto - Atrasada"/>
  </r>
  <r>
    <x v="4"/>
    <x v="26"/>
    <s v="Encerrado"/>
    <n v="251.37026239067058"/>
    <x v="7"/>
    <n v="33"/>
    <x v="0"/>
    <x v="3"/>
    <d v="2020-01-25T00:00:00"/>
    <s v="Em Aberto - Atrasada"/>
    <s v="SP"/>
    <d v="2020-01-25T00:00:00"/>
    <s v="Em Aberto - Atrasada"/>
  </r>
  <r>
    <x v="4"/>
    <x v="26"/>
    <s v="Encerrado"/>
    <n v="271.37026239067097"/>
    <x v="7"/>
    <n v="12"/>
    <x v="0"/>
    <x v="3"/>
    <d v="2021-02-22T00:00:00"/>
    <s v="Em Aberto - Atrasada"/>
    <s v="SP"/>
    <d v="2021-01-22T00:00:00"/>
    <s v="Em Aberto - Atrasad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28016F-D0C2-42CD-863C-5EE464674601}" name="Tabela dinâmica4" cacheId="0" applyNumberFormats="0" applyBorderFormats="0" applyFontFormats="0" applyPatternFormats="0" applyAlignmentFormats="0" applyWidthHeightFormats="1" dataCaption="Valores" updatedVersion="6" minRefreshableVersion="5" useAutoFormatting="1" itemPrintTitles="1" createdVersion="6" indent="0" outline="1" outlineData="1" multipleFieldFilters="0" chartFormat="6">
  <location ref="A10:B14" firstHeaderRow="1" firstDataRow="1" firstDataCol="1"/>
  <pivotFields count="13">
    <pivotField showAll="0">
      <items count="6">
        <item x="3"/>
        <item x="1"/>
        <item x="0"/>
        <item x="4"/>
        <item x="2"/>
        <item t="default"/>
      </items>
    </pivotField>
    <pivotField numFmtId="14" showAll="0">
      <items count="28">
        <item x="0"/>
        <item x="21"/>
        <item x="6"/>
        <item x="1"/>
        <item x="2"/>
        <item x="7"/>
        <item x="22"/>
        <item x="8"/>
        <item x="9"/>
        <item x="11"/>
        <item x="10"/>
        <item x="12"/>
        <item x="13"/>
        <item x="18"/>
        <item x="3"/>
        <item x="19"/>
        <item x="14"/>
        <item x="4"/>
        <item x="23"/>
        <item x="15"/>
        <item x="24"/>
        <item x="5"/>
        <item x="20"/>
        <item x="16"/>
        <item x="25"/>
        <item x="17"/>
        <item x="26"/>
        <item t="default"/>
      </items>
    </pivotField>
    <pivotField showAll="0"/>
    <pivotField dataField="1" numFmtId="44"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>
      <items count="5">
        <item sd="0" x="2"/>
        <item sd="0" x="0"/>
        <item sd="0" x="1"/>
        <item sd="0" x="3"/>
        <item t="default" sd="0"/>
      </items>
    </pivotField>
    <pivotField numFmtId="14" showAll="0"/>
    <pivotField showAll="0"/>
    <pivotField showAll="0"/>
    <pivotField numFmtId="14"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Valor do Contrato" fld="3" baseField="0" baseItem="0" numFmtId="44"/>
  </dataFields>
  <formats count="6">
    <format dxfId="673">
      <pivotArea outline="0" collapsedLevelsAreSubtotals="1" fieldPosition="0"/>
    </format>
    <format dxfId="674">
      <pivotArea type="all" dataOnly="0" outline="0" fieldPosition="0"/>
    </format>
    <format dxfId="675">
      <pivotArea outline="0" collapsedLevelsAreSubtotals="1" fieldPosition="0"/>
    </format>
    <format dxfId="676">
      <pivotArea field="7" type="button" dataOnly="0" labelOnly="1" outline="0"/>
    </format>
    <format dxfId="677">
      <pivotArea dataOnly="0" labelOnly="1" grandRow="1" outline="0" fieldPosition="0"/>
    </format>
    <format dxfId="678">
      <pivotArea dataOnly="0" labelOnly="1" outline="0" axis="axisValues" fieldPosition="0"/>
    </format>
  </formats>
  <chartFormats count="12"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Dark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3FAEEA-2F5F-4D6A-AECE-18E1264F20B7}" name="Tabela dinâmica5" cacheId="0" applyNumberFormats="0" applyBorderFormats="0" applyFontFormats="0" applyPatternFormats="0" applyAlignmentFormats="0" applyWidthHeightFormats="1" dataCaption="Valores" updatedVersion="6" minRefreshableVersion="5" useAutoFormatting="1" itemPrintTitles="1" createdVersion="6" indent="0" outline="1" outlineData="1" multipleFieldFilters="0" chartFormat="6">
  <location ref="D10:F19" firstHeaderRow="0" firstDataRow="1" firstDataCol="1"/>
  <pivotFields count="13">
    <pivotField showAll="0">
      <items count="6">
        <item x="3"/>
        <item x="1"/>
        <item x="0"/>
        <item x="4"/>
        <item x="2"/>
        <item t="default"/>
      </items>
    </pivotField>
    <pivotField numFmtId="14" multipleItemSelectionAllowed="1" showAll="0">
      <items count="28">
        <item x="0"/>
        <item x="21"/>
        <item x="6"/>
        <item x="1"/>
        <item x="2"/>
        <item x="7"/>
        <item x="22"/>
        <item x="8"/>
        <item x="9"/>
        <item x="11"/>
        <item x="10"/>
        <item x="12"/>
        <item x="13"/>
        <item x="18"/>
        <item x="3"/>
        <item x="19"/>
        <item x="14"/>
        <item x="4"/>
        <item x="23"/>
        <item x="15"/>
        <item x="24"/>
        <item x="5"/>
        <item x="20"/>
        <item x="16"/>
        <item x="25"/>
        <item x="17"/>
        <item x="26"/>
        <item t="default"/>
      </items>
    </pivotField>
    <pivotField showAll="0"/>
    <pivotField numFmtId="44" showAll="0"/>
    <pivotField axis="axisRow" showAll="0">
      <items count="9">
        <item x="7"/>
        <item x="2"/>
        <item x="5"/>
        <item x="3"/>
        <item x="0"/>
        <item x="6"/>
        <item x="1"/>
        <item x="4"/>
        <item t="default"/>
      </items>
    </pivotField>
    <pivotField dataField="1" showAll="0"/>
    <pivotField showAll="0"/>
    <pivotField showAll="0"/>
    <pivotField numFmtId="14" showAll="0"/>
    <pivotField showAll="0"/>
    <pivotField dataField="1" showAll="0"/>
    <pivotField numFmtId="14" showAll="0"/>
    <pivotField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Peso (Kg)" fld="5" baseField="0" baseItem="0"/>
    <dataField name="Contagem de Destino" fld="10" subtotal="count" baseField="0" baseItem="0"/>
  </dataFields>
  <formats count="6">
    <format dxfId="667">
      <pivotArea type="all" dataOnly="0" outline="0" fieldPosition="0"/>
    </format>
    <format dxfId="668">
      <pivotArea outline="0" collapsedLevelsAreSubtotals="1" fieldPosition="0"/>
    </format>
    <format dxfId="669">
      <pivotArea field="4" type="button" dataOnly="0" labelOnly="1" outline="0" axis="axisRow" fieldPosition="0"/>
    </format>
    <format dxfId="670">
      <pivotArea dataOnly="0" labelOnly="1" fieldPosition="0">
        <references count="1">
          <reference field="4" count="0"/>
        </references>
      </pivotArea>
    </format>
    <format dxfId="671">
      <pivotArea dataOnly="0" labelOnly="1" grandRow="1" outline="0" fieldPosition="0"/>
    </format>
    <format dxfId="67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10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1"/>
          </reference>
          <reference field="4" count="1" selected="0">
            <x v="7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1"/>
          </reference>
          <reference field="4" count="1" selected="0">
            <x v="7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1"/>
          </reference>
          <reference field="4" count="1" selected="0">
            <x v="7"/>
          </reference>
        </references>
      </pivotArea>
    </chartFormat>
  </chartFormats>
  <pivotTableStyleInfo name="PivotStyleDark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" xr10:uid="{D890BDA7-F40C-427F-B9CF-DA14675ABE4D}" sourceName="Cliente">
  <pivotTables>
    <pivotTable tabId="5" name="Tabela dinâmica4"/>
    <pivotTable tabId="5" name="Tabela dinâmica5"/>
  </pivotTables>
  <data>
    <tabular pivotCacheId="1813549172">
      <items count="5">
        <i x="3" s="1" nd="1"/>
        <i x="1" s="1" nd="1"/>
        <i x="0" s="1" nd="1"/>
        <i x="4" s="1" nd="1"/>
        <i x="2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" xr10:uid="{9A1A5C2C-715E-42CC-8435-CD97BAB91F18}" cache="SegmentaçãodeDados_Cliente" caption="Cliente" startItem="1" style="SlicerStyleDark6" rowHeight="234950"/>
</slicer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a_Contrato" xr10:uid="{1494BBAD-B779-4D60-B0D2-91DA5280F026}" sourceName="Data Contrato">
  <pivotTables>
    <pivotTable tabId="5" name="Tabela dinâmica4"/>
    <pivotTable tabId="5" name="Tabela dinâmica5"/>
  </pivotTables>
  <state minimalRefreshVersion="6" lastRefreshVersion="6" pivotCacheId="1813549172" filterType="unknown">
    <bounds startDate="2019-01-01T00:00:00" endDate="2021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a Contrato" xr10:uid="{BF5ACDE0-E218-44EA-BB11-62DB017A90E8}" cache="NativeTimeline_Data_Contrato" caption="Data Contrato" level="2" selectionLevel="2" scrollPosition="2019-01-01T00:00:00" style="TimeSlicerStyleLight6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a Contrato 1" xr10:uid="{8EA1AC63-F312-421C-A3B2-3024245C4833}" cache="NativeTimeline_Data_Contrato" caption="Data Contrato" showSelectionLabel="0" showTimeLevel="0" showHorizontalScrollbar="0" level="2" selectionLevel="2" scrollPosition="2019-01-01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11/relationships/timeline" Target="../timelines/timelin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1/relationships/timeline" Target="../timelines/timelin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1E1A9-18E2-43CA-94BB-EF6B81C615A2}">
  <dimension ref="A1:M42"/>
  <sheetViews>
    <sheetView workbookViewId="0">
      <selection activeCell="F2" sqref="F2:F31"/>
    </sheetView>
  </sheetViews>
  <sheetFormatPr defaultColWidth="19.6640625" defaultRowHeight="14.4" x14ac:dyDescent="0.3"/>
  <cols>
    <col min="1" max="1" width="24.33203125" bestFit="1" customWidth="1"/>
    <col min="2" max="2" width="12.88671875" style="4" bestFit="1" customWidth="1"/>
    <col min="4" max="4" width="19.6640625" style="3"/>
    <col min="6" max="6" width="9" style="4" bestFit="1" customWidth="1"/>
    <col min="8" max="8" width="8.33203125" style="4" customWidth="1"/>
    <col min="9" max="9" width="12.44140625" style="4" bestFit="1" customWidth="1"/>
    <col min="10" max="10" width="19.6640625" style="4"/>
    <col min="11" max="11" width="7.6640625" style="4" bestFit="1" customWidth="1"/>
    <col min="12" max="12" width="15.44140625" style="4" bestFit="1" customWidth="1"/>
  </cols>
  <sheetData>
    <row r="1" spans="1:13" s="1" customFormat="1" x14ac:dyDescent="0.3">
      <c r="A1" s="1" t="s">
        <v>0</v>
      </c>
      <c r="B1" s="1" t="s">
        <v>2</v>
      </c>
      <c r="C1" s="1" t="s">
        <v>3</v>
      </c>
      <c r="D1" s="2" t="s">
        <v>13</v>
      </c>
      <c r="E1" s="1" t="s">
        <v>1</v>
      </c>
      <c r="F1" s="1" t="s">
        <v>21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9</v>
      </c>
      <c r="L1" s="1" t="s">
        <v>10</v>
      </c>
      <c r="M1" s="1" t="s">
        <v>11</v>
      </c>
    </row>
    <row r="2" spans="1:13" x14ac:dyDescent="0.3">
      <c r="A2" t="s">
        <v>4</v>
      </c>
      <c r="B2" s="5">
        <v>43525</v>
      </c>
      <c r="C2" t="s">
        <v>18</v>
      </c>
      <c r="D2" s="3">
        <v>869.32</v>
      </c>
      <c r="E2" t="s">
        <v>20</v>
      </c>
      <c r="F2" s="4">
        <v>25</v>
      </c>
      <c r="G2" t="s">
        <v>22</v>
      </c>
      <c r="H2" s="4" t="s">
        <v>23</v>
      </c>
      <c r="I2" s="5">
        <v>43529</v>
      </c>
      <c r="J2" s="4" t="s">
        <v>24</v>
      </c>
      <c r="K2" s="4" t="s">
        <v>27</v>
      </c>
      <c r="L2" s="5">
        <v>43529</v>
      </c>
      <c r="M2" s="4" t="s">
        <v>24</v>
      </c>
    </row>
    <row r="3" spans="1:13" x14ac:dyDescent="0.3">
      <c r="A3" t="s">
        <v>4</v>
      </c>
      <c r="B3" s="5">
        <v>43570</v>
      </c>
      <c r="C3" t="s">
        <v>18</v>
      </c>
      <c r="D3" s="3">
        <v>586.32000000000005</v>
      </c>
      <c r="E3" t="s">
        <v>5</v>
      </c>
      <c r="F3" s="4">
        <v>16</v>
      </c>
      <c r="G3" t="s">
        <v>22</v>
      </c>
      <c r="H3" s="4" t="s">
        <v>23</v>
      </c>
      <c r="I3" s="5">
        <v>43575</v>
      </c>
      <c r="J3" s="4" t="s">
        <v>24</v>
      </c>
      <c r="K3" s="4" t="s">
        <v>28</v>
      </c>
      <c r="L3" s="5">
        <v>43575</v>
      </c>
      <c r="M3" s="4" t="s">
        <v>24</v>
      </c>
    </row>
    <row r="4" spans="1:13" x14ac:dyDescent="0.3">
      <c r="A4" t="s">
        <v>4</v>
      </c>
      <c r="B4" s="5">
        <v>43575</v>
      </c>
      <c r="C4" t="s">
        <v>18</v>
      </c>
      <c r="D4" s="3">
        <v>256.32</v>
      </c>
      <c r="E4" t="s">
        <v>5</v>
      </c>
      <c r="F4" s="4">
        <v>9</v>
      </c>
      <c r="G4" t="s">
        <v>22</v>
      </c>
      <c r="H4" s="4" t="s">
        <v>23</v>
      </c>
      <c r="I4" s="5">
        <v>43575</v>
      </c>
      <c r="J4" s="4" t="s">
        <v>24</v>
      </c>
      <c r="K4" s="4" t="s">
        <v>28</v>
      </c>
      <c r="L4" s="5">
        <v>43575</v>
      </c>
      <c r="M4" s="4" t="s">
        <v>24</v>
      </c>
    </row>
    <row r="5" spans="1:13" x14ac:dyDescent="0.3">
      <c r="A5" t="s">
        <v>4</v>
      </c>
      <c r="B5" s="5">
        <v>43744</v>
      </c>
      <c r="C5" t="s">
        <v>18</v>
      </c>
      <c r="D5" s="3">
        <v>726.32</v>
      </c>
      <c r="E5" t="s">
        <v>20</v>
      </c>
      <c r="F5" s="4">
        <v>23</v>
      </c>
      <c r="G5" t="s">
        <v>22</v>
      </c>
      <c r="H5" s="4" t="s">
        <v>23</v>
      </c>
      <c r="I5" s="5">
        <v>43748</v>
      </c>
      <c r="J5" s="4" t="s">
        <v>25</v>
      </c>
      <c r="K5" s="4" t="s">
        <v>27</v>
      </c>
      <c r="L5" s="5">
        <v>43748</v>
      </c>
      <c r="M5" s="4" t="s">
        <v>26</v>
      </c>
    </row>
    <row r="6" spans="1:13" x14ac:dyDescent="0.3">
      <c r="A6" t="s">
        <v>4</v>
      </c>
      <c r="B6" s="5">
        <v>43779</v>
      </c>
      <c r="C6" t="s">
        <v>19</v>
      </c>
      <c r="D6" s="3">
        <v>452.12</v>
      </c>
      <c r="E6" t="s">
        <v>5</v>
      </c>
      <c r="F6" s="4">
        <v>14</v>
      </c>
      <c r="G6" t="s">
        <v>22</v>
      </c>
      <c r="H6" s="4" t="s">
        <v>23</v>
      </c>
      <c r="I6" s="5">
        <v>43819</v>
      </c>
      <c r="J6" s="4" t="s">
        <v>26</v>
      </c>
      <c r="K6" s="4" t="s">
        <v>27</v>
      </c>
      <c r="L6" s="5">
        <v>43819</v>
      </c>
      <c r="M6" s="4" t="s">
        <v>26</v>
      </c>
    </row>
    <row r="7" spans="1:13" x14ac:dyDescent="0.3">
      <c r="A7" t="s">
        <v>4</v>
      </c>
      <c r="B7" s="5">
        <v>43810</v>
      </c>
      <c r="C7" t="s">
        <v>19</v>
      </c>
      <c r="D7" s="3">
        <v>956.32</v>
      </c>
      <c r="E7" t="s">
        <v>20</v>
      </c>
      <c r="F7" s="4">
        <v>28</v>
      </c>
      <c r="G7" t="s">
        <v>22</v>
      </c>
      <c r="H7" s="4" t="s">
        <v>23</v>
      </c>
      <c r="I7" s="5">
        <v>43819</v>
      </c>
      <c r="J7" s="4" t="s">
        <v>26</v>
      </c>
      <c r="K7" s="4" t="s">
        <v>27</v>
      </c>
      <c r="L7" s="5">
        <v>43819</v>
      </c>
      <c r="M7" s="4" t="s">
        <v>26</v>
      </c>
    </row>
    <row r="8" spans="1:13" x14ac:dyDescent="0.3">
      <c r="A8" t="s">
        <v>14</v>
      </c>
      <c r="B8" s="5">
        <v>43557</v>
      </c>
      <c r="C8" t="s">
        <v>18</v>
      </c>
      <c r="D8" s="3">
        <v>2395</v>
      </c>
      <c r="E8" t="s">
        <v>29</v>
      </c>
      <c r="F8" s="4">
        <v>343</v>
      </c>
      <c r="G8" t="s">
        <v>31</v>
      </c>
      <c r="H8" s="4" t="s">
        <v>30</v>
      </c>
      <c r="I8" s="5">
        <v>43567</v>
      </c>
      <c r="J8" s="4" t="s">
        <v>26</v>
      </c>
      <c r="K8" s="4" t="s">
        <v>27</v>
      </c>
      <c r="L8" s="5">
        <v>43570</v>
      </c>
      <c r="M8" s="4" t="s">
        <v>26</v>
      </c>
    </row>
    <row r="9" spans="1:13" x14ac:dyDescent="0.3">
      <c r="A9" t="s">
        <v>14</v>
      </c>
      <c r="B9" s="5">
        <v>43588</v>
      </c>
      <c r="C9" t="s">
        <v>18</v>
      </c>
      <c r="D9" s="3">
        <v>1745.6268221574344</v>
      </c>
      <c r="E9" t="s">
        <v>29</v>
      </c>
      <c r="F9" s="4">
        <v>250</v>
      </c>
      <c r="G9" t="s">
        <v>31</v>
      </c>
      <c r="H9" s="4" t="s">
        <v>30</v>
      </c>
      <c r="I9" s="5">
        <v>43595</v>
      </c>
      <c r="J9" s="4" t="s">
        <v>26</v>
      </c>
      <c r="K9" s="4" t="s">
        <v>28</v>
      </c>
      <c r="L9" s="5">
        <v>43598</v>
      </c>
      <c r="M9" s="4" t="s">
        <v>26</v>
      </c>
    </row>
    <row r="10" spans="1:13" x14ac:dyDescent="0.3">
      <c r="A10" t="s">
        <v>14</v>
      </c>
      <c r="B10" s="5">
        <v>43594</v>
      </c>
      <c r="C10" t="s">
        <v>18</v>
      </c>
      <c r="D10" s="3">
        <v>907.72594752186592</v>
      </c>
      <c r="E10" t="s">
        <v>29</v>
      </c>
      <c r="F10" s="4">
        <v>130</v>
      </c>
      <c r="G10" t="s">
        <v>31</v>
      </c>
      <c r="H10" s="4" t="s">
        <v>30</v>
      </c>
      <c r="I10" s="5">
        <v>43595</v>
      </c>
      <c r="J10" s="4" t="s">
        <v>26</v>
      </c>
      <c r="K10" s="4" t="s">
        <v>28</v>
      </c>
      <c r="L10" s="5">
        <v>43598</v>
      </c>
      <c r="M10" s="4" t="s">
        <v>26</v>
      </c>
    </row>
    <row r="11" spans="1:13" x14ac:dyDescent="0.3">
      <c r="A11" t="s">
        <v>14</v>
      </c>
      <c r="B11" s="5">
        <v>43605</v>
      </c>
      <c r="C11" t="s">
        <v>18</v>
      </c>
      <c r="D11" s="3">
        <v>1955.1020408163265</v>
      </c>
      <c r="E11" t="s">
        <v>29</v>
      </c>
      <c r="F11" s="4">
        <v>280</v>
      </c>
      <c r="G11" t="s">
        <v>31</v>
      </c>
      <c r="H11" s="4" t="s">
        <v>30</v>
      </c>
      <c r="I11" s="5">
        <v>43607</v>
      </c>
      <c r="J11" s="4" t="s">
        <v>26</v>
      </c>
      <c r="K11" s="4" t="s">
        <v>27</v>
      </c>
      <c r="L11" s="5">
        <v>43610</v>
      </c>
      <c r="M11" s="4" t="s">
        <v>24</v>
      </c>
    </row>
    <row r="12" spans="1:13" x14ac:dyDescent="0.3">
      <c r="A12" t="s">
        <v>14</v>
      </c>
      <c r="B12" s="5">
        <v>43663</v>
      </c>
      <c r="C12" t="s">
        <v>18</v>
      </c>
      <c r="D12" s="3">
        <v>1326.6763848396502</v>
      </c>
      <c r="E12" t="s">
        <v>29</v>
      </c>
      <c r="F12" s="4">
        <v>190</v>
      </c>
      <c r="G12" t="s">
        <v>31</v>
      </c>
      <c r="H12" s="4" t="s">
        <v>30</v>
      </c>
      <c r="I12" s="5">
        <v>43666</v>
      </c>
      <c r="J12" s="4" t="s">
        <v>24</v>
      </c>
      <c r="K12" s="4" t="s">
        <v>27</v>
      </c>
      <c r="L12" s="5">
        <v>43669</v>
      </c>
      <c r="M12" s="4" t="s">
        <v>24</v>
      </c>
    </row>
    <row r="13" spans="1:13" x14ac:dyDescent="0.3">
      <c r="A13" t="s">
        <v>15</v>
      </c>
      <c r="B13" s="5">
        <v>43652</v>
      </c>
      <c r="C13" t="s">
        <v>18</v>
      </c>
      <c r="D13" s="3">
        <v>600</v>
      </c>
      <c r="E13" t="s">
        <v>32</v>
      </c>
      <c r="F13" s="4">
        <v>15</v>
      </c>
      <c r="G13" t="s">
        <v>22</v>
      </c>
      <c r="H13" s="4" t="s">
        <v>37</v>
      </c>
      <c r="I13" s="5">
        <v>43653</v>
      </c>
      <c r="J13" s="4" t="s">
        <v>24</v>
      </c>
      <c r="K13" s="4" t="s">
        <v>38</v>
      </c>
      <c r="L13" s="5">
        <v>43658</v>
      </c>
      <c r="M13" s="4" t="s">
        <v>24</v>
      </c>
    </row>
    <row r="14" spans="1:13" x14ac:dyDescent="0.3">
      <c r="A14" t="s">
        <v>15</v>
      </c>
      <c r="B14" s="5">
        <v>43687</v>
      </c>
      <c r="C14" t="s">
        <v>18</v>
      </c>
      <c r="D14" s="3">
        <v>920</v>
      </c>
      <c r="E14" t="s">
        <v>33</v>
      </c>
      <c r="F14" s="4">
        <v>23</v>
      </c>
      <c r="G14" t="s">
        <v>22</v>
      </c>
      <c r="H14" s="4" t="s">
        <v>37</v>
      </c>
      <c r="I14" s="5">
        <v>43693</v>
      </c>
      <c r="J14" s="4" t="s">
        <v>24</v>
      </c>
      <c r="K14" s="4" t="s">
        <v>38</v>
      </c>
      <c r="L14" s="5">
        <v>43668</v>
      </c>
      <c r="M14" s="4" t="s">
        <v>26</v>
      </c>
    </row>
    <row r="15" spans="1:13" x14ac:dyDescent="0.3">
      <c r="A15" t="s">
        <v>15</v>
      </c>
      <c r="B15" s="5">
        <v>43692</v>
      </c>
      <c r="C15" t="s">
        <v>18</v>
      </c>
      <c r="D15" s="3">
        <v>440</v>
      </c>
      <c r="E15" t="s">
        <v>32</v>
      </c>
      <c r="F15" s="4">
        <v>11</v>
      </c>
      <c r="G15" t="s">
        <v>22</v>
      </c>
      <c r="H15" s="4" t="s">
        <v>37</v>
      </c>
      <c r="I15" s="5">
        <v>43693</v>
      </c>
      <c r="J15" s="4" t="s">
        <v>24</v>
      </c>
      <c r="K15" s="4" t="s">
        <v>27</v>
      </c>
      <c r="L15" s="5">
        <v>43700</v>
      </c>
      <c r="M15" s="4" t="s">
        <v>26</v>
      </c>
    </row>
    <row r="16" spans="1:13" x14ac:dyDescent="0.3">
      <c r="A16" t="s">
        <v>15</v>
      </c>
      <c r="B16" s="5">
        <v>43758</v>
      </c>
      <c r="C16" t="s">
        <v>18</v>
      </c>
      <c r="D16" s="3">
        <v>680</v>
      </c>
      <c r="E16" t="s">
        <v>32</v>
      </c>
      <c r="F16" s="4">
        <v>17</v>
      </c>
      <c r="G16" t="s">
        <v>22</v>
      </c>
      <c r="H16" s="4" t="s">
        <v>37</v>
      </c>
      <c r="I16" s="5">
        <v>43760</v>
      </c>
      <c r="J16" s="4" t="s">
        <v>24</v>
      </c>
      <c r="K16" s="4" t="s">
        <v>23</v>
      </c>
      <c r="L16" s="5">
        <v>43766</v>
      </c>
      <c r="M16" s="4" t="s">
        <v>24</v>
      </c>
    </row>
    <row r="17" spans="1:13" x14ac:dyDescent="0.3">
      <c r="A17" t="s">
        <v>15</v>
      </c>
      <c r="B17" s="5">
        <v>43800</v>
      </c>
      <c r="C17" t="s">
        <v>19</v>
      </c>
      <c r="D17" s="3">
        <v>120</v>
      </c>
      <c r="E17" t="s">
        <v>34</v>
      </c>
      <c r="F17" s="4">
        <v>3</v>
      </c>
      <c r="G17" t="s">
        <v>22</v>
      </c>
      <c r="H17" s="4" t="s">
        <v>37</v>
      </c>
      <c r="I17" s="5">
        <v>43804</v>
      </c>
      <c r="J17" s="4" t="s">
        <v>24</v>
      </c>
      <c r="K17" s="4" t="s">
        <v>27</v>
      </c>
      <c r="L17" s="5">
        <v>43811</v>
      </c>
      <c r="M17" s="4" t="s">
        <v>26</v>
      </c>
    </row>
    <row r="18" spans="1:13" x14ac:dyDescent="0.3">
      <c r="A18" t="s">
        <v>15</v>
      </c>
      <c r="B18" s="5">
        <v>43833</v>
      </c>
      <c r="C18" t="s">
        <v>19</v>
      </c>
      <c r="D18" s="3">
        <v>480</v>
      </c>
      <c r="E18" t="s">
        <v>32</v>
      </c>
      <c r="F18" s="4">
        <v>12</v>
      </c>
      <c r="G18" t="s">
        <v>22</v>
      </c>
      <c r="H18" s="4" t="s">
        <v>37</v>
      </c>
      <c r="I18" s="5">
        <v>43845</v>
      </c>
      <c r="J18" s="4" t="s">
        <v>26</v>
      </c>
      <c r="K18" s="4" t="s">
        <v>27</v>
      </c>
      <c r="L18" s="5">
        <v>43486</v>
      </c>
      <c r="M18" s="4" t="s">
        <v>26</v>
      </c>
    </row>
    <row r="19" spans="1:13" x14ac:dyDescent="0.3">
      <c r="A19" t="s">
        <v>15</v>
      </c>
      <c r="B19" s="5">
        <v>43845</v>
      </c>
      <c r="C19" t="s">
        <v>19</v>
      </c>
      <c r="D19" s="3">
        <v>80</v>
      </c>
      <c r="E19" t="s">
        <v>34</v>
      </c>
      <c r="F19" s="4">
        <v>2</v>
      </c>
      <c r="G19" t="s">
        <v>22</v>
      </c>
      <c r="H19" s="4" t="s">
        <v>37</v>
      </c>
      <c r="I19" s="5">
        <v>43845</v>
      </c>
      <c r="J19" s="4" t="s">
        <v>26</v>
      </c>
      <c r="K19" s="4" t="s">
        <v>27</v>
      </c>
      <c r="L19" s="5">
        <v>43486</v>
      </c>
      <c r="M19" s="4" t="s">
        <v>26</v>
      </c>
    </row>
    <row r="20" spans="1:13" x14ac:dyDescent="0.3">
      <c r="A20" t="s">
        <v>16</v>
      </c>
      <c r="B20" s="5">
        <v>43714</v>
      </c>
      <c r="C20" t="s">
        <v>18</v>
      </c>
      <c r="D20" s="3">
        <v>1800</v>
      </c>
      <c r="E20" t="s">
        <v>35</v>
      </c>
      <c r="F20" s="4">
        <v>430</v>
      </c>
      <c r="G20" t="s">
        <v>36</v>
      </c>
      <c r="H20" s="4" t="s">
        <v>27</v>
      </c>
      <c r="I20" s="5">
        <v>43715</v>
      </c>
      <c r="J20" s="4" t="s">
        <v>24</v>
      </c>
      <c r="K20" s="4" t="s">
        <v>27</v>
      </c>
      <c r="L20" s="5">
        <v>43715</v>
      </c>
      <c r="M20" s="4" t="s">
        <v>24</v>
      </c>
    </row>
    <row r="21" spans="1:13" x14ac:dyDescent="0.3">
      <c r="A21" t="s">
        <v>16</v>
      </c>
      <c r="B21" s="5">
        <v>43753</v>
      </c>
      <c r="C21" t="s">
        <v>18</v>
      </c>
      <c r="D21" s="3">
        <v>1883.7209302325582</v>
      </c>
      <c r="E21" t="s">
        <v>35</v>
      </c>
      <c r="F21" s="4">
        <v>450</v>
      </c>
      <c r="G21" t="s">
        <v>36</v>
      </c>
      <c r="H21" s="4" t="s">
        <v>27</v>
      </c>
      <c r="I21" s="5">
        <v>43754</v>
      </c>
      <c r="J21" s="4" t="s">
        <v>24</v>
      </c>
      <c r="K21" s="4" t="s">
        <v>27</v>
      </c>
      <c r="L21" s="5">
        <v>43754</v>
      </c>
      <c r="M21" s="4" t="s">
        <v>24</v>
      </c>
    </row>
    <row r="22" spans="1:13" x14ac:dyDescent="0.3">
      <c r="A22" t="s">
        <v>16</v>
      </c>
      <c r="B22" s="5">
        <v>43819</v>
      </c>
      <c r="C22" t="s">
        <v>19</v>
      </c>
      <c r="D22" s="3">
        <v>1632.5581395348838</v>
      </c>
      <c r="E22" t="s">
        <v>35</v>
      </c>
      <c r="F22" s="4">
        <v>390</v>
      </c>
      <c r="G22" t="s">
        <v>36</v>
      </c>
      <c r="H22" s="4" t="s">
        <v>27</v>
      </c>
      <c r="I22" s="5">
        <v>43821</v>
      </c>
      <c r="J22" s="4" t="s">
        <v>51</v>
      </c>
      <c r="K22" s="4" t="s">
        <v>27</v>
      </c>
      <c r="L22" s="5">
        <v>43821</v>
      </c>
      <c r="M22" s="4" t="s">
        <v>51</v>
      </c>
    </row>
    <row r="23" spans="1:13" x14ac:dyDescent="0.3">
      <c r="A23" t="s">
        <v>17</v>
      </c>
      <c r="B23" s="5">
        <v>43556</v>
      </c>
      <c r="C23" t="s">
        <v>18</v>
      </c>
      <c r="D23" s="3">
        <v>916.12500000000011</v>
      </c>
      <c r="E23" t="s">
        <v>39</v>
      </c>
      <c r="F23" s="4">
        <v>25</v>
      </c>
      <c r="G23" t="s">
        <v>22</v>
      </c>
      <c r="H23" s="4" t="s">
        <v>27</v>
      </c>
      <c r="I23" s="5">
        <v>43560</v>
      </c>
      <c r="J23" s="4" t="s">
        <v>24</v>
      </c>
      <c r="K23" s="4" t="s">
        <v>27</v>
      </c>
      <c r="L23" s="5">
        <v>43560</v>
      </c>
      <c r="M23" s="4" t="s">
        <v>24</v>
      </c>
    </row>
    <row r="24" spans="1:13" x14ac:dyDescent="0.3">
      <c r="A24" t="s">
        <v>17</v>
      </c>
      <c r="B24" s="5">
        <v>43592</v>
      </c>
      <c r="C24" t="s">
        <v>18</v>
      </c>
      <c r="D24" s="3">
        <v>854.4</v>
      </c>
      <c r="E24" t="s">
        <v>39</v>
      </c>
      <c r="F24" s="4">
        <v>30</v>
      </c>
      <c r="G24" t="s">
        <v>22</v>
      </c>
      <c r="H24" s="4" t="s">
        <v>27</v>
      </c>
      <c r="I24" s="5">
        <v>43595</v>
      </c>
      <c r="J24" s="4" t="s">
        <v>24</v>
      </c>
      <c r="K24" s="4" t="s">
        <v>27</v>
      </c>
      <c r="L24" s="5">
        <v>43595</v>
      </c>
      <c r="M24" s="4" t="s">
        <v>24</v>
      </c>
    </row>
    <row r="25" spans="1:13" x14ac:dyDescent="0.3">
      <c r="A25" t="s">
        <v>17</v>
      </c>
      <c r="B25" s="5">
        <v>43605</v>
      </c>
      <c r="C25" t="s">
        <v>18</v>
      </c>
      <c r="D25" s="3">
        <v>884.2156521739131</v>
      </c>
      <c r="E25" t="s">
        <v>39</v>
      </c>
      <c r="F25" s="4">
        <v>28</v>
      </c>
      <c r="G25" t="s">
        <v>22</v>
      </c>
      <c r="H25" s="4" t="s">
        <v>27</v>
      </c>
      <c r="I25" s="5">
        <v>43607</v>
      </c>
      <c r="J25" s="4" t="s">
        <v>24</v>
      </c>
      <c r="K25" s="4" t="s">
        <v>27</v>
      </c>
      <c r="L25" s="5">
        <v>43607</v>
      </c>
      <c r="M25" s="4" t="s">
        <v>24</v>
      </c>
    </row>
    <row r="26" spans="1:13" x14ac:dyDescent="0.3">
      <c r="A26" t="s">
        <v>17</v>
      </c>
      <c r="B26" s="5">
        <v>43799</v>
      </c>
      <c r="C26" t="s">
        <v>18</v>
      </c>
      <c r="D26" s="3">
        <v>645.88571428571424</v>
      </c>
      <c r="E26" t="s">
        <v>39</v>
      </c>
      <c r="F26" s="4">
        <v>20</v>
      </c>
      <c r="G26" t="s">
        <v>22</v>
      </c>
      <c r="H26" s="4" t="s">
        <v>27</v>
      </c>
      <c r="I26" s="5">
        <v>43804</v>
      </c>
      <c r="J26" s="4" t="s">
        <v>24</v>
      </c>
      <c r="K26" s="4" t="s">
        <v>27</v>
      </c>
      <c r="L26" s="5">
        <v>43804</v>
      </c>
      <c r="M26" s="4" t="s">
        <v>24</v>
      </c>
    </row>
    <row r="27" spans="1:13" x14ac:dyDescent="0.3">
      <c r="A27" t="s">
        <v>17</v>
      </c>
      <c r="B27" s="5">
        <v>43806</v>
      </c>
      <c r="C27" t="s">
        <v>19</v>
      </c>
      <c r="D27" s="3">
        <v>614.77714285714285</v>
      </c>
      <c r="E27" t="s">
        <v>39</v>
      </c>
      <c r="F27" s="4">
        <v>18</v>
      </c>
      <c r="G27" t="s">
        <v>22</v>
      </c>
      <c r="H27" s="4" t="s">
        <v>27</v>
      </c>
      <c r="I27" s="5">
        <v>43808</v>
      </c>
      <c r="J27" s="4" t="s">
        <v>26</v>
      </c>
      <c r="K27" s="4" t="s">
        <v>27</v>
      </c>
      <c r="L27" s="5">
        <v>43808</v>
      </c>
      <c r="M27" s="4" t="s">
        <v>26</v>
      </c>
    </row>
    <row r="28" spans="1:13" x14ac:dyDescent="0.3">
      <c r="A28" t="s">
        <v>17</v>
      </c>
      <c r="B28" s="5">
        <v>43840</v>
      </c>
      <c r="C28" t="s">
        <v>19</v>
      </c>
      <c r="D28" s="3">
        <v>174.56268221574345</v>
      </c>
      <c r="E28" t="s">
        <v>39</v>
      </c>
      <c r="F28" s="4">
        <v>25</v>
      </c>
      <c r="G28" t="s">
        <v>22</v>
      </c>
      <c r="H28" s="4" t="s">
        <v>27</v>
      </c>
      <c r="I28" s="5">
        <v>43842</v>
      </c>
      <c r="J28" s="4" t="s">
        <v>26</v>
      </c>
      <c r="K28" s="4" t="s">
        <v>27</v>
      </c>
      <c r="L28" s="5">
        <v>43842</v>
      </c>
      <c r="M28" s="4" t="s">
        <v>24</v>
      </c>
    </row>
    <row r="29" spans="1:13" x14ac:dyDescent="0.3">
      <c r="A29" t="s">
        <v>17</v>
      </c>
      <c r="B29" s="5">
        <v>43852</v>
      </c>
      <c r="C29" t="s">
        <v>19</v>
      </c>
      <c r="D29" s="3">
        <v>251.37026239067058</v>
      </c>
      <c r="E29" t="s">
        <v>39</v>
      </c>
      <c r="F29" s="4">
        <v>36</v>
      </c>
      <c r="G29" t="s">
        <v>22</v>
      </c>
      <c r="H29" s="4" t="s">
        <v>27</v>
      </c>
      <c r="I29" s="5">
        <v>43854</v>
      </c>
      <c r="J29" s="4" t="s">
        <v>26</v>
      </c>
      <c r="K29" s="4" t="s">
        <v>27</v>
      </c>
      <c r="L29" s="5">
        <v>43854</v>
      </c>
      <c r="M29" s="4" t="s">
        <v>24</v>
      </c>
    </row>
    <row r="30" spans="1:13" x14ac:dyDescent="0.3">
      <c r="A30" t="s">
        <v>17</v>
      </c>
      <c r="B30" s="5">
        <v>43852</v>
      </c>
      <c r="C30" t="s">
        <v>18</v>
      </c>
      <c r="D30" s="3">
        <v>251.37026239067058</v>
      </c>
      <c r="E30" t="s">
        <v>39</v>
      </c>
      <c r="F30" s="4">
        <v>33</v>
      </c>
      <c r="G30" t="s">
        <v>22</v>
      </c>
      <c r="H30" s="4" t="s">
        <v>27</v>
      </c>
      <c r="I30" s="5">
        <v>43855</v>
      </c>
      <c r="J30" s="4" t="s">
        <v>26</v>
      </c>
      <c r="K30" s="4" t="s">
        <v>27</v>
      </c>
      <c r="L30" s="5">
        <v>43855</v>
      </c>
      <c r="M30" s="4" t="s">
        <v>24</v>
      </c>
    </row>
    <row r="31" spans="1:13" x14ac:dyDescent="0.3">
      <c r="A31" t="s">
        <v>17</v>
      </c>
      <c r="B31" s="5">
        <v>43852</v>
      </c>
      <c r="C31" t="s">
        <v>18</v>
      </c>
      <c r="D31" s="3">
        <v>271.37026239067097</v>
      </c>
      <c r="E31" t="s">
        <v>39</v>
      </c>
      <c r="F31" s="4">
        <v>12</v>
      </c>
      <c r="G31" t="s">
        <v>22</v>
      </c>
      <c r="H31" s="4" t="s">
        <v>27</v>
      </c>
      <c r="I31" s="5">
        <v>44249</v>
      </c>
      <c r="J31" s="4" t="s">
        <v>26</v>
      </c>
      <c r="K31" s="4" t="s">
        <v>27</v>
      </c>
      <c r="L31" s="5">
        <v>44218</v>
      </c>
      <c r="M31" s="4" t="s">
        <v>24</v>
      </c>
    </row>
    <row r="32" spans="1:13" x14ac:dyDescent="0.3">
      <c r="B32" s="5"/>
    </row>
    <row r="33" spans="2:2" x14ac:dyDescent="0.3">
      <c r="B33" s="5"/>
    </row>
    <row r="34" spans="2:2" x14ac:dyDescent="0.3">
      <c r="B34" s="5"/>
    </row>
    <row r="35" spans="2:2" x14ac:dyDescent="0.3">
      <c r="B35" s="5"/>
    </row>
    <row r="36" spans="2:2" x14ac:dyDescent="0.3">
      <c r="B36" s="5"/>
    </row>
    <row r="37" spans="2:2" x14ac:dyDescent="0.3">
      <c r="B37" s="5"/>
    </row>
    <row r="38" spans="2:2" x14ac:dyDescent="0.3">
      <c r="B38" s="5"/>
    </row>
    <row r="39" spans="2:2" x14ac:dyDescent="0.3">
      <c r="B39" s="5"/>
    </row>
    <row r="40" spans="2:2" x14ac:dyDescent="0.3">
      <c r="B40" s="5"/>
    </row>
    <row r="41" spans="2:2" x14ac:dyDescent="0.3">
      <c r="B41" s="5"/>
    </row>
    <row r="42" spans="2:2" x14ac:dyDescent="0.3">
      <c r="B42" s="5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8BB6B-4DA4-4066-B1E7-8C9A47D54CA0}">
  <dimension ref="A9:F19"/>
  <sheetViews>
    <sheetView workbookViewId="0">
      <selection activeCell="I16" sqref="I16:I20"/>
    </sheetView>
  </sheetViews>
  <sheetFormatPr defaultRowHeight="14.4" x14ac:dyDescent="0.3"/>
  <cols>
    <col min="1" max="1" width="18.109375" bestFit="1" customWidth="1"/>
    <col min="2" max="2" width="24.109375" bestFit="1" customWidth="1"/>
    <col min="4" max="4" width="17.33203125" bestFit="1" customWidth="1"/>
    <col min="5" max="5" width="16.77734375" bestFit="1" customWidth="1"/>
    <col min="6" max="6" width="19.21875" bestFit="1" customWidth="1"/>
  </cols>
  <sheetData>
    <row r="9" spans="1:6" ht="15" thickBot="1" x14ac:dyDescent="0.35"/>
    <row r="10" spans="1:6" ht="15" thickBot="1" x14ac:dyDescent="0.35">
      <c r="A10" s="23" t="s">
        <v>40</v>
      </c>
      <c r="B10" s="12" t="s">
        <v>41</v>
      </c>
      <c r="D10" s="10" t="s">
        <v>40</v>
      </c>
      <c r="E10" s="16" t="s">
        <v>43</v>
      </c>
      <c r="F10" s="17" t="s">
        <v>44</v>
      </c>
    </row>
    <row r="11" spans="1:6" x14ac:dyDescent="0.3">
      <c r="A11" s="24" t="s">
        <v>36</v>
      </c>
      <c r="B11" s="8">
        <v>5316.2790697674418</v>
      </c>
      <c r="D11" s="19" t="s">
        <v>39</v>
      </c>
      <c r="E11" s="13">
        <v>227</v>
      </c>
      <c r="F11" s="14">
        <v>9</v>
      </c>
    </row>
    <row r="12" spans="1:6" x14ac:dyDescent="0.3">
      <c r="A12" s="24" t="s">
        <v>31</v>
      </c>
      <c r="B12" s="18">
        <v>8330.1311953352779</v>
      </c>
      <c r="D12" s="20" t="s">
        <v>29</v>
      </c>
      <c r="E12" s="22">
        <v>1193</v>
      </c>
      <c r="F12" s="6">
        <v>5</v>
      </c>
    </row>
    <row r="13" spans="1:6" ht="15" thickBot="1" x14ac:dyDescent="0.35">
      <c r="A13" s="24" t="s">
        <v>22</v>
      </c>
      <c r="B13" s="18">
        <v>12030.796978704524</v>
      </c>
      <c r="D13" s="20" t="s">
        <v>34</v>
      </c>
      <c r="E13" s="22">
        <v>5</v>
      </c>
      <c r="F13" s="6">
        <v>2</v>
      </c>
    </row>
    <row r="14" spans="1:6" ht="15" thickBot="1" x14ac:dyDescent="0.35">
      <c r="A14" s="11" t="s">
        <v>42</v>
      </c>
      <c r="B14" s="9">
        <v>25677.207243807243</v>
      </c>
      <c r="D14" s="20" t="s">
        <v>32</v>
      </c>
      <c r="E14" s="22">
        <v>55</v>
      </c>
      <c r="F14" s="6">
        <v>4</v>
      </c>
    </row>
    <row r="15" spans="1:6" x14ac:dyDescent="0.3">
      <c r="D15" s="20" t="s">
        <v>20</v>
      </c>
      <c r="E15" s="22">
        <v>76</v>
      </c>
      <c r="F15" s="6">
        <v>3</v>
      </c>
    </row>
    <row r="16" spans="1:6" x14ac:dyDescent="0.3">
      <c r="D16" s="20" t="s">
        <v>35</v>
      </c>
      <c r="E16" s="22">
        <v>1270</v>
      </c>
      <c r="F16" s="6">
        <v>3</v>
      </c>
    </row>
    <row r="17" spans="4:6" x14ac:dyDescent="0.3">
      <c r="D17" s="20" t="s">
        <v>5</v>
      </c>
      <c r="E17" s="22">
        <v>39</v>
      </c>
      <c r="F17" s="6">
        <v>3</v>
      </c>
    </row>
    <row r="18" spans="4:6" ht="15" thickBot="1" x14ac:dyDescent="0.35">
      <c r="D18" s="21" t="s">
        <v>33</v>
      </c>
      <c r="E18" s="22">
        <v>23</v>
      </c>
      <c r="F18" s="6">
        <v>1</v>
      </c>
    </row>
    <row r="19" spans="4:6" ht="15" thickBot="1" x14ac:dyDescent="0.35">
      <c r="D19" s="11" t="s">
        <v>42</v>
      </c>
      <c r="E19" s="15">
        <v>2888</v>
      </c>
      <c r="F19" s="7">
        <v>30</v>
      </c>
    </row>
  </sheetData>
  <pageMargins left="0.511811024" right="0.511811024" top="0.78740157499999996" bottom="0.78740157499999996" header="0.31496062000000002" footer="0.31496062000000002"/>
  <pageSetup paperSize="9" orientation="portrait" r:id="rId3"/>
  <drawing r:id="rId4"/>
  <extLst>
    <ext xmlns:x14="http://schemas.microsoft.com/office/spreadsheetml/2009/9/main" uri="{A8765BA9-456A-4dab-B4F3-ACF838C121DE}">
      <x14:slicerList>
        <x14:slicer r:id="rId5"/>
      </x14:slicerList>
    </ext>
    <ext xmlns:x15="http://schemas.microsoft.com/office/spreadsheetml/2010/11/main" uri="{7E03D99C-DC04-49d9-9315-930204A7B6E9}">
      <x15:timelineRefs>
        <x15:timelineRef r:id="rId6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94793-3C03-4DB5-94C3-E5BB209E57A4}">
  <dimension ref="A1:BB21"/>
  <sheetViews>
    <sheetView tabSelected="1" workbookViewId="0">
      <selection activeCell="AK2" sqref="AK1:AK1048576"/>
    </sheetView>
  </sheetViews>
  <sheetFormatPr defaultRowHeight="14.4" outlineLevelCol="1" x14ac:dyDescent="0.3"/>
  <cols>
    <col min="2" max="8" width="8.88671875" hidden="1" customWidth="1" outlineLevel="1"/>
    <col min="9" max="9" width="26.109375" hidden="1" customWidth="1" outlineLevel="1"/>
    <col min="10" max="17" width="8.88671875" hidden="1" customWidth="1" outlineLevel="1"/>
    <col min="18" max="18" width="26.5546875" hidden="1" customWidth="1" outlineLevel="1"/>
    <col min="19" max="19" width="8.88671875" collapsed="1"/>
    <col min="20" max="20" width="8.88671875" hidden="1" customWidth="1" outlineLevel="1"/>
    <col min="21" max="21" width="8.44140625" hidden="1" customWidth="1" outlineLevel="1"/>
    <col min="22" max="26" width="8.88671875" hidden="1" customWidth="1" outlineLevel="1"/>
    <col min="27" max="27" width="23.21875" hidden="1" customWidth="1" outlineLevel="1"/>
    <col min="28" max="35" width="8.88671875" hidden="1" customWidth="1" outlineLevel="1"/>
    <col min="36" max="36" width="23.6640625" hidden="1" customWidth="1" outlineLevel="1"/>
    <col min="37" max="43" width="8.88671875" hidden="1" customWidth="1" outlineLevel="1"/>
    <col min="44" max="44" width="23.21875" hidden="1" customWidth="1" outlineLevel="1"/>
    <col min="45" max="52" width="8.88671875" hidden="1" customWidth="1" outlineLevel="1"/>
    <col min="53" max="53" width="23.6640625" hidden="1" customWidth="1" outlineLevel="1"/>
    <col min="54" max="54" width="8.88671875" collapsed="1"/>
  </cols>
  <sheetData>
    <row r="1" spans="1:53" ht="27.6" customHeight="1" thickBot="1" x14ac:dyDescent="0.55000000000000004">
      <c r="A1" s="52" t="s">
        <v>52</v>
      </c>
      <c r="B1" s="51" t="s">
        <v>53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4" t="s">
        <v>54</v>
      </c>
      <c r="T1" s="47" t="s">
        <v>53</v>
      </c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32" t="s">
        <v>53</v>
      </c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</row>
    <row r="2" spans="1:53" ht="15.6" customHeight="1" thickBot="1" x14ac:dyDescent="0.55000000000000004">
      <c r="A2" s="53"/>
      <c r="B2" s="56" t="str">
        <f>IF(I16&lt;'Indicadores Base'!A2,"Média de Peso abaixo do aceitável","")</f>
        <v/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5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</row>
    <row r="3" spans="1:53" ht="14.4" customHeight="1" x14ac:dyDescent="0.3">
      <c r="A3" s="43"/>
      <c r="B3" s="35"/>
      <c r="C3" s="35"/>
      <c r="D3" s="35"/>
      <c r="E3" s="35"/>
      <c r="F3" s="35"/>
      <c r="G3" s="35"/>
      <c r="H3" s="36"/>
      <c r="I3" s="50" t="s">
        <v>45</v>
      </c>
      <c r="J3" s="39"/>
      <c r="K3" s="35"/>
      <c r="L3" s="35"/>
      <c r="M3" s="35"/>
      <c r="N3" s="35"/>
      <c r="O3" s="35"/>
      <c r="P3" s="35"/>
      <c r="Q3" s="36"/>
      <c r="R3" s="50" t="s">
        <v>48</v>
      </c>
      <c r="S3" s="45"/>
      <c r="T3" s="33"/>
      <c r="U3" s="33"/>
      <c r="V3" s="33"/>
      <c r="W3" s="33"/>
      <c r="X3" s="33"/>
      <c r="Y3" s="33"/>
      <c r="Z3" s="34"/>
      <c r="AA3" s="26" t="s">
        <v>45</v>
      </c>
      <c r="AB3" s="38"/>
      <c r="AC3" s="33"/>
      <c r="AD3" s="33"/>
      <c r="AE3" s="33"/>
      <c r="AF3" s="33"/>
      <c r="AG3" s="33"/>
      <c r="AH3" s="33"/>
      <c r="AI3" s="34"/>
      <c r="AJ3" s="26" t="s">
        <v>48</v>
      </c>
      <c r="AK3" s="33"/>
      <c r="AL3" s="33"/>
      <c r="AM3" s="33"/>
      <c r="AN3" s="33"/>
      <c r="AO3" s="33"/>
      <c r="AP3" s="33"/>
      <c r="AQ3" s="34"/>
      <c r="AR3" s="26" t="s">
        <v>45</v>
      </c>
      <c r="AS3" s="38"/>
      <c r="AT3" s="33"/>
      <c r="AU3" s="33"/>
      <c r="AV3" s="33"/>
      <c r="AW3" s="33"/>
      <c r="AX3" s="33"/>
      <c r="AY3" s="33"/>
      <c r="AZ3" s="34"/>
      <c r="BA3" s="26" t="s">
        <v>48</v>
      </c>
    </row>
    <row r="4" spans="1:53" x14ac:dyDescent="0.3">
      <c r="A4" s="43"/>
      <c r="B4" s="35"/>
      <c r="C4" s="35"/>
      <c r="D4" s="35"/>
      <c r="E4" s="35"/>
      <c r="F4" s="35"/>
      <c r="G4" s="35"/>
      <c r="H4" s="36"/>
      <c r="I4" s="30">
        <f>GETPIVOTDATA("Soma de Peso (Kg)",'Tabelas Dinâmicas'!$D$10)</f>
        <v>2888</v>
      </c>
      <c r="J4" s="39"/>
      <c r="K4" s="35"/>
      <c r="L4" s="35"/>
      <c r="M4" s="35"/>
      <c r="N4" s="35"/>
      <c r="O4" s="35"/>
      <c r="P4" s="35"/>
      <c r="Q4" s="36"/>
      <c r="R4" s="41">
        <f>GETPIVOTDATA("Valor do Contrato",'Tabelas Dinâmicas'!$A$10)</f>
        <v>25677.207243807243</v>
      </c>
      <c r="S4" s="45"/>
      <c r="T4" s="35"/>
      <c r="U4" s="35"/>
      <c r="V4" s="35"/>
      <c r="W4" s="35"/>
      <c r="X4" s="35"/>
      <c r="Y4" s="35"/>
      <c r="Z4" s="36"/>
      <c r="AA4" s="30">
        <f>GETPIVOTDATA("Soma de Peso (Kg)",'Tabelas Dinâmicas'!$D$10)</f>
        <v>2888</v>
      </c>
      <c r="AB4" s="39"/>
      <c r="AC4" s="35"/>
      <c r="AD4" s="35"/>
      <c r="AE4" s="35"/>
      <c r="AF4" s="35"/>
      <c r="AG4" s="35"/>
      <c r="AH4" s="35"/>
      <c r="AI4" s="36"/>
      <c r="AJ4" s="41">
        <f>GETPIVOTDATA("Valor do Contrato",'Tabelas Dinâmicas'!$A$10)</f>
        <v>25677.207243807243</v>
      </c>
      <c r="AK4" s="35"/>
      <c r="AL4" s="35"/>
      <c r="AM4" s="35"/>
      <c r="AN4" s="35"/>
      <c r="AO4" s="35"/>
      <c r="AP4" s="35"/>
      <c r="AQ4" s="36"/>
      <c r="AR4" s="30">
        <f>GETPIVOTDATA("Soma de Peso (Kg)",'Tabelas Dinâmicas'!$D$10)</f>
        <v>2888</v>
      </c>
      <c r="AS4" s="39"/>
      <c r="AT4" s="35"/>
      <c r="AU4" s="35"/>
      <c r="AV4" s="35"/>
      <c r="AW4" s="35"/>
      <c r="AX4" s="35"/>
      <c r="AY4" s="35"/>
      <c r="AZ4" s="36"/>
      <c r="BA4" s="41">
        <f>GETPIVOTDATA("Valor do Contrato",'Tabelas Dinâmicas'!$A$10)</f>
        <v>25677.207243807243</v>
      </c>
    </row>
    <row r="5" spans="1:53" x14ac:dyDescent="0.3">
      <c r="A5" s="43"/>
      <c r="B5" s="35"/>
      <c r="C5" s="35"/>
      <c r="D5" s="35"/>
      <c r="E5" s="35"/>
      <c r="F5" s="35"/>
      <c r="G5" s="35"/>
      <c r="H5" s="36"/>
      <c r="I5" s="30"/>
      <c r="J5" s="39"/>
      <c r="K5" s="35"/>
      <c r="L5" s="35"/>
      <c r="M5" s="35"/>
      <c r="N5" s="35"/>
      <c r="O5" s="35"/>
      <c r="P5" s="35"/>
      <c r="Q5" s="36"/>
      <c r="R5" s="41"/>
      <c r="S5" s="45"/>
      <c r="T5" s="35"/>
      <c r="U5" s="35"/>
      <c r="V5" s="35"/>
      <c r="W5" s="35"/>
      <c r="X5" s="35"/>
      <c r="Y5" s="35"/>
      <c r="Z5" s="36"/>
      <c r="AA5" s="30"/>
      <c r="AB5" s="39"/>
      <c r="AC5" s="35"/>
      <c r="AD5" s="35"/>
      <c r="AE5" s="35"/>
      <c r="AF5" s="35"/>
      <c r="AG5" s="35"/>
      <c r="AH5" s="35"/>
      <c r="AI5" s="36"/>
      <c r="AJ5" s="41"/>
      <c r="AK5" s="35"/>
      <c r="AL5" s="35"/>
      <c r="AM5" s="35"/>
      <c r="AN5" s="35"/>
      <c r="AO5" s="35"/>
      <c r="AP5" s="35"/>
      <c r="AQ5" s="36"/>
      <c r="AR5" s="30"/>
      <c r="AS5" s="39"/>
      <c r="AT5" s="35"/>
      <c r="AU5" s="35"/>
      <c r="AV5" s="35"/>
      <c r="AW5" s="35"/>
      <c r="AX5" s="35"/>
      <c r="AY5" s="35"/>
      <c r="AZ5" s="36"/>
      <c r="BA5" s="41"/>
    </row>
    <row r="6" spans="1:53" x14ac:dyDescent="0.3">
      <c r="A6" s="43"/>
      <c r="B6" s="35"/>
      <c r="C6" s="35"/>
      <c r="D6" s="35"/>
      <c r="E6" s="35"/>
      <c r="F6" s="35"/>
      <c r="G6" s="35"/>
      <c r="H6" s="36"/>
      <c r="I6" s="30"/>
      <c r="J6" s="39"/>
      <c r="K6" s="35"/>
      <c r="L6" s="35"/>
      <c r="M6" s="35"/>
      <c r="N6" s="35"/>
      <c r="O6" s="35"/>
      <c r="P6" s="35"/>
      <c r="Q6" s="36"/>
      <c r="R6" s="41"/>
      <c r="S6" s="45"/>
      <c r="T6" s="35"/>
      <c r="U6" s="35"/>
      <c r="V6" s="35"/>
      <c r="W6" s="35"/>
      <c r="X6" s="35"/>
      <c r="Y6" s="35"/>
      <c r="Z6" s="36"/>
      <c r="AA6" s="30"/>
      <c r="AB6" s="39"/>
      <c r="AC6" s="35"/>
      <c r="AD6" s="35"/>
      <c r="AE6" s="35"/>
      <c r="AF6" s="35"/>
      <c r="AG6" s="35"/>
      <c r="AH6" s="35"/>
      <c r="AI6" s="36"/>
      <c r="AJ6" s="41"/>
      <c r="AK6" s="35"/>
      <c r="AL6" s="35"/>
      <c r="AM6" s="35"/>
      <c r="AN6" s="35"/>
      <c r="AO6" s="35"/>
      <c r="AP6" s="35"/>
      <c r="AQ6" s="36"/>
      <c r="AR6" s="30"/>
      <c r="AS6" s="39"/>
      <c r="AT6" s="35"/>
      <c r="AU6" s="35"/>
      <c r="AV6" s="35"/>
      <c r="AW6" s="35"/>
      <c r="AX6" s="35"/>
      <c r="AY6" s="35"/>
      <c r="AZ6" s="36"/>
      <c r="BA6" s="41"/>
    </row>
    <row r="7" spans="1:53" x14ac:dyDescent="0.3">
      <c r="A7" s="43"/>
      <c r="B7" s="35"/>
      <c r="C7" s="35"/>
      <c r="D7" s="35"/>
      <c r="E7" s="35"/>
      <c r="F7" s="35"/>
      <c r="G7" s="35"/>
      <c r="H7" s="36"/>
      <c r="I7" s="30"/>
      <c r="J7" s="39"/>
      <c r="K7" s="35"/>
      <c r="L7" s="35"/>
      <c r="M7" s="35"/>
      <c r="N7" s="35"/>
      <c r="O7" s="35"/>
      <c r="P7" s="35"/>
      <c r="Q7" s="36"/>
      <c r="R7" s="41"/>
      <c r="S7" s="45"/>
      <c r="T7" s="35"/>
      <c r="U7" s="35"/>
      <c r="V7" s="35"/>
      <c r="W7" s="35"/>
      <c r="X7" s="35"/>
      <c r="Y7" s="35"/>
      <c r="Z7" s="36"/>
      <c r="AA7" s="30"/>
      <c r="AB7" s="39"/>
      <c r="AC7" s="35"/>
      <c r="AD7" s="35"/>
      <c r="AE7" s="35"/>
      <c r="AF7" s="35"/>
      <c r="AG7" s="35"/>
      <c r="AH7" s="35"/>
      <c r="AI7" s="36"/>
      <c r="AJ7" s="41"/>
      <c r="AK7" s="35"/>
      <c r="AL7" s="35"/>
      <c r="AM7" s="35"/>
      <c r="AN7" s="35"/>
      <c r="AO7" s="35"/>
      <c r="AP7" s="35"/>
      <c r="AQ7" s="36"/>
      <c r="AR7" s="30"/>
      <c r="AS7" s="39"/>
      <c r="AT7" s="35"/>
      <c r="AU7" s="35"/>
      <c r="AV7" s="35"/>
      <c r="AW7" s="35"/>
      <c r="AX7" s="35"/>
      <c r="AY7" s="35"/>
      <c r="AZ7" s="36"/>
      <c r="BA7" s="41"/>
    </row>
    <row r="8" spans="1:53" ht="15" thickBot="1" x14ac:dyDescent="0.35">
      <c r="A8" s="43"/>
      <c r="B8" s="35"/>
      <c r="C8" s="35"/>
      <c r="D8" s="35"/>
      <c r="E8" s="35"/>
      <c r="F8" s="35"/>
      <c r="G8" s="35"/>
      <c r="H8" s="36"/>
      <c r="I8" s="31"/>
      <c r="J8" s="39"/>
      <c r="K8" s="35"/>
      <c r="L8" s="35"/>
      <c r="M8" s="35"/>
      <c r="N8" s="35"/>
      <c r="O8" s="35"/>
      <c r="P8" s="35"/>
      <c r="Q8" s="36"/>
      <c r="R8" s="42"/>
      <c r="S8" s="45"/>
      <c r="T8" s="35"/>
      <c r="U8" s="35"/>
      <c r="V8" s="35"/>
      <c r="W8" s="35"/>
      <c r="X8" s="35"/>
      <c r="Y8" s="35"/>
      <c r="Z8" s="36"/>
      <c r="AA8" s="31"/>
      <c r="AB8" s="39"/>
      <c r="AC8" s="35"/>
      <c r="AD8" s="35"/>
      <c r="AE8" s="35"/>
      <c r="AF8" s="35"/>
      <c r="AG8" s="35"/>
      <c r="AH8" s="35"/>
      <c r="AI8" s="36"/>
      <c r="AJ8" s="42"/>
      <c r="AK8" s="35"/>
      <c r="AL8" s="35"/>
      <c r="AM8" s="35"/>
      <c r="AN8" s="35"/>
      <c r="AO8" s="35"/>
      <c r="AP8" s="35"/>
      <c r="AQ8" s="36"/>
      <c r="AR8" s="31"/>
      <c r="AS8" s="39"/>
      <c r="AT8" s="35"/>
      <c r="AU8" s="35"/>
      <c r="AV8" s="35"/>
      <c r="AW8" s="35"/>
      <c r="AX8" s="35"/>
      <c r="AY8" s="35"/>
      <c r="AZ8" s="36"/>
      <c r="BA8" s="42"/>
    </row>
    <row r="9" spans="1:53" x14ac:dyDescent="0.3">
      <c r="A9" s="43"/>
      <c r="B9" s="35"/>
      <c r="C9" s="35"/>
      <c r="D9" s="35"/>
      <c r="E9" s="35"/>
      <c r="F9" s="35"/>
      <c r="G9" s="35"/>
      <c r="H9" s="36"/>
      <c r="I9" s="26" t="s">
        <v>46</v>
      </c>
      <c r="J9" s="39"/>
      <c r="K9" s="35"/>
      <c r="L9" s="35"/>
      <c r="M9" s="35"/>
      <c r="N9" s="35"/>
      <c r="O9" s="35"/>
      <c r="P9" s="35"/>
      <c r="Q9" s="36"/>
      <c r="R9" s="27" t="s">
        <v>49</v>
      </c>
      <c r="S9" s="45"/>
      <c r="T9" s="35"/>
      <c r="U9" s="35"/>
      <c r="V9" s="35"/>
      <c r="W9" s="35"/>
      <c r="X9" s="35"/>
      <c r="Y9" s="35"/>
      <c r="Z9" s="36"/>
      <c r="AA9" s="26" t="s">
        <v>46</v>
      </c>
      <c r="AB9" s="39"/>
      <c r="AC9" s="35"/>
      <c r="AD9" s="35"/>
      <c r="AE9" s="35"/>
      <c r="AF9" s="35"/>
      <c r="AG9" s="35"/>
      <c r="AH9" s="35"/>
      <c r="AI9" s="36"/>
      <c r="AJ9" s="27" t="s">
        <v>49</v>
      </c>
      <c r="AK9" s="35"/>
      <c r="AL9" s="35"/>
      <c r="AM9" s="35"/>
      <c r="AN9" s="35"/>
      <c r="AO9" s="35"/>
      <c r="AP9" s="35"/>
      <c r="AQ9" s="36"/>
      <c r="AR9" s="26" t="s">
        <v>46</v>
      </c>
      <c r="AS9" s="39"/>
      <c r="AT9" s="35"/>
      <c r="AU9" s="35"/>
      <c r="AV9" s="35"/>
      <c r="AW9" s="35"/>
      <c r="AX9" s="35"/>
      <c r="AY9" s="35"/>
      <c r="AZ9" s="36"/>
      <c r="BA9" s="27" t="s">
        <v>49</v>
      </c>
    </row>
    <row r="10" spans="1:53" x14ac:dyDescent="0.3">
      <c r="A10" s="43"/>
      <c r="B10" s="35"/>
      <c r="C10" s="35"/>
      <c r="D10" s="35"/>
      <c r="E10" s="35"/>
      <c r="F10" s="35"/>
      <c r="G10" s="35"/>
      <c r="H10" s="36"/>
      <c r="I10" s="30">
        <f>GETPIVOTDATA("Contagem de Destino",'Tabelas Dinâmicas'!$D$10)</f>
        <v>30</v>
      </c>
      <c r="J10" s="39"/>
      <c r="K10" s="35"/>
      <c r="L10" s="35"/>
      <c r="M10" s="35"/>
      <c r="N10" s="35"/>
      <c r="O10" s="35"/>
      <c r="P10" s="35"/>
      <c r="Q10" s="36"/>
      <c r="R10" s="30">
        <f>COUNTIF(SituacaoPartidas,"Em Aberto - Atrasada")</f>
        <v>13</v>
      </c>
      <c r="S10" s="45"/>
      <c r="T10" s="35"/>
      <c r="U10" s="35"/>
      <c r="V10" s="35"/>
      <c r="W10" s="35"/>
      <c r="X10" s="35"/>
      <c r="Y10" s="35"/>
      <c r="Z10" s="36"/>
      <c r="AA10" s="30">
        <f>GETPIVOTDATA("Contagem de Destino",'Tabelas Dinâmicas'!$D$10)</f>
        <v>30</v>
      </c>
      <c r="AB10" s="39"/>
      <c r="AC10" s="35"/>
      <c r="AD10" s="35"/>
      <c r="AE10" s="35"/>
      <c r="AF10" s="35"/>
      <c r="AG10" s="35"/>
      <c r="AH10" s="35"/>
      <c r="AI10" s="36"/>
      <c r="AJ10" s="30">
        <f>COUNTIF(SituacaoPartidas,"Em Aberto - Atrasada")</f>
        <v>13</v>
      </c>
      <c r="AK10" s="35"/>
      <c r="AL10" s="35"/>
      <c r="AM10" s="35"/>
      <c r="AN10" s="35"/>
      <c r="AO10" s="35"/>
      <c r="AP10" s="35"/>
      <c r="AQ10" s="36"/>
      <c r="AR10" s="30">
        <f>GETPIVOTDATA("Contagem de Destino",'Tabelas Dinâmicas'!$D$10)</f>
        <v>30</v>
      </c>
      <c r="AS10" s="39"/>
      <c r="AT10" s="35"/>
      <c r="AU10" s="35"/>
      <c r="AV10" s="35"/>
      <c r="AW10" s="35"/>
      <c r="AX10" s="35"/>
      <c r="AY10" s="35"/>
      <c r="AZ10" s="36"/>
      <c r="BA10" s="30">
        <f>COUNTIF(SituacaoPartidas,"Em Aberto - Atrasada")</f>
        <v>13</v>
      </c>
    </row>
    <row r="11" spans="1:53" x14ac:dyDescent="0.3">
      <c r="A11" s="43"/>
      <c r="B11" s="35"/>
      <c r="C11" s="35"/>
      <c r="D11" s="35"/>
      <c r="E11" s="35"/>
      <c r="F11" s="35"/>
      <c r="G11" s="35"/>
      <c r="H11" s="36"/>
      <c r="I11" s="30"/>
      <c r="J11" s="39"/>
      <c r="K11" s="35"/>
      <c r="L11" s="35"/>
      <c r="M11" s="35"/>
      <c r="N11" s="35"/>
      <c r="O11" s="35"/>
      <c r="P11" s="35"/>
      <c r="Q11" s="36"/>
      <c r="R11" s="30"/>
      <c r="S11" s="45"/>
      <c r="T11" s="35"/>
      <c r="U11" s="35"/>
      <c r="V11" s="35"/>
      <c r="W11" s="35"/>
      <c r="X11" s="35"/>
      <c r="Y11" s="35"/>
      <c r="Z11" s="36"/>
      <c r="AA11" s="30"/>
      <c r="AB11" s="39"/>
      <c r="AC11" s="35"/>
      <c r="AD11" s="35"/>
      <c r="AE11" s="35"/>
      <c r="AF11" s="35"/>
      <c r="AG11" s="35"/>
      <c r="AH11" s="35"/>
      <c r="AI11" s="36"/>
      <c r="AJ11" s="30"/>
      <c r="AK11" s="35"/>
      <c r="AL11" s="35"/>
      <c r="AM11" s="35"/>
      <c r="AN11" s="35"/>
      <c r="AO11" s="35"/>
      <c r="AP11" s="35"/>
      <c r="AQ11" s="36"/>
      <c r="AR11" s="30"/>
      <c r="AS11" s="39"/>
      <c r="AT11" s="35"/>
      <c r="AU11" s="35"/>
      <c r="AV11" s="35"/>
      <c r="AW11" s="35"/>
      <c r="AX11" s="35"/>
      <c r="AY11" s="35"/>
      <c r="AZ11" s="36"/>
      <c r="BA11" s="30"/>
    </row>
    <row r="12" spans="1:53" x14ac:dyDescent="0.3">
      <c r="A12" s="43"/>
      <c r="B12" s="35"/>
      <c r="C12" s="35"/>
      <c r="D12" s="35"/>
      <c r="E12" s="35"/>
      <c r="F12" s="35"/>
      <c r="G12" s="35"/>
      <c r="H12" s="36"/>
      <c r="I12" s="30"/>
      <c r="J12" s="39"/>
      <c r="K12" s="35"/>
      <c r="L12" s="35"/>
      <c r="M12" s="35"/>
      <c r="N12" s="35"/>
      <c r="O12" s="35"/>
      <c r="P12" s="35"/>
      <c r="Q12" s="36"/>
      <c r="R12" s="30"/>
      <c r="S12" s="45"/>
      <c r="T12" s="35"/>
      <c r="U12" s="35"/>
      <c r="V12" s="35"/>
      <c r="W12" s="35"/>
      <c r="X12" s="35"/>
      <c r="Y12" s="35"/>
      <c r="Z12" s="36"/>
      <c r="AA12" s="30"/>
      <c r="AB12" s="39"/>
      <c r="AC12" s="35"/>
      <c r="AD12" s="35"/>
      <c r="AE12" s="35"/>
      <c r="AF12" s="35"/>
      <c r="AG12" s="35"/>
      <c r="AH12" s="35"/>
      <c r="AI12" s="36"/>
      <c r="AJ12" s="30"/>
      <c r="AK12" s="35"/>
      <c r="AL12" s="35"/>
      <c r="AM12" s="35"/>
      <c r="AN12" s="35"/>
      <c r="AO12" s="35"/>
      <c r="AP12" s="35"/>
      <c r="AQ12" s="36"/>
      <c r="AR12" s="30"/>
      <c r="AS12" s="39"/>
      <c r="AT12" s="35"/>
      <c r="AU12" s="35"/>
      <c r="AV12" s="35"/>
      <c r="AW12" s="35"/>
      <c r="AX12" s="35"/>
      <c r="AY12" s="35"/>
      <c r="AZ12" s="36"/>
      <c r="BA12" s="30"/>
    </row>
    <row r="13" spans="1:53" x14ac:dyDescent="0.3">
      <c r="A13" s="43"/>
      <c r="B13" s="35"/>
      <c r="C13" s="35"/>
      <c r="D13" s="35"/>
      <c r="E13" s="35"/>
      <c r="F13" s="35"/>
      <c r="G13" s="35"/>
      <c r="H13" s="36"/>
      <c r="I13" s="30"/>
      <c r="J13" s="39"/>
      <c r="K13" s="35"/>
      <c r="L13" s="35"/>
      <c r="M13" s="35"/>
      <c r="N13" s="35"/>
      <c r="O13" s="35"/>
      <c r="P13" s="35"/>
      <c r="Q13" s="36"/>
      <c r="R13" s="30"/>
      <c r="S13" s="45"/>
      <c r="T13" s="35"/>
      <c r="U13" s="35"/>
      <c r="V13" s="35"/>
      <c r="W13" s="35"/>
      <c r="X13" s="35"/>
      <c r="Y13" s="35"/>
      <c r="Z13" s="36"/>
      <c r="AA13" s="30"/>
      <c r="AB13" s="39"/>
      <c r="AC13" s="35"/>
      <c r="AD13" s="35"/>
      <c r="AE13" s="35"/>
      <c r="AF13" s="35"/>
      <c r="AG13" s="35"/>
      <c r="AH13" s="35"/>
      <c r="AI13" s="36"/>
      <c r="AJ13" s="30"/>
      <c r="AK13" s="35"/>
      <c r="AL13" s="35"/>
      <c r="AM13" s="35"/>
      <c r="AN13" s="35"/>
      <c r="AO13" s="35"/>
      <c r="AP13" s="35"/>
      <c r="AQ13" s="36"/>
      <c r="AR13" s="30"/>
      <c r="AS13" s="39"/>
      <c r="AT13" s="35"/>
      <c r="AU13" s="35"/>
      <c r="AV13" s="35"/>
      <c r="AW13" s="35"/>
      <c r="AX13" s="35"/>
      <c r="AY13" s="35"/>
      <c r="AZ13" s="36"/>
      <c r="BA13" s="30"/>
    </row>
    <row r="14" spans="1:53" ht="15" thickBot="1" x14ac:dyDescent="0.35">
      <c r="A14" s="43"/>
      <c r="B14" s="35"/>
      <c r="C14" s="35"/>
      <c r="D14" s="35"/>
      <c r="E14" s="35"/>
      <c r="F14" s="35"/>
      <c r="G14" s="35"/>
      <c r="H14" s="36"/>
      <c r="I14" s="31"/>
      <c r="J14" s="39"/>
      <c r="K14" s="35"/>
      <c r="L14" s="35"/>
      <c r="M14" s="35"/>
      <c r="N14" s="35"/>
      <c r="O14" s="35"/>
      <c r="P14" s="35"/>
      <c r="Q14" s="36"/>
      <c r="R14" s="31"/>
      <c r="S14" s="45"/>
      <c r="T14" s="35"/>
      <c r="U14" s="35"/>
      <c r="V14" s="35"/>
      <c r="W14" s="35"/>
      <c r="X14" s="35"/>
      <c r="Y14" s="35"/>
      <c r="Z14" s="36"/>
      <c r="AA14" s="31"/>
      <c r="AB14" s="39"/>
      <c r="AC14" s="35"/>
      <c r="AD14" s="35"/>
      <c r="AE14" s="35"/>
      <c r="AF14" s="35"/>
      <c r="AG14" s="35"/>
      <c r="AH14" s="35"/>
      <c r="AI14" s="36"/>
      <c r="AJ14" s="31"/>
      <c r="AK14" s="35"/>
      <c r="AL14" s="35"/>
      <c r="AM14" s="35"/>
      <c r="AN14" s="35"/>
      <c r="AO14" s="35"/>
      <c r="AP14" s="35"/>
      <c r="AQ14" s="36"/>
      <c r="AR14" s="31"/>
      <c r="AS14" s="39"/>
      <c r="AT14" s="35"/>
      <c r="AU14" s="35"/>
      <c r="AV14" s="35"/>
      <c r="AW14" s="35"/>
      <c r="AX14" s="35"/>
      <c r="AY14" s="35"/>
      <c r="AZ14" s="36"/>
      <c r="BA14" s="31"/>
    </row>
    <row r="15" spans="1:53" x14ac:dyDescent="0.3">
      <c r="A15" s="43"/>
      <c r="B15" s="35"/>
      <c r="C15" s="35"/>
      <c r="D15" s="35"/>
      <c r="E15" s="35"/>
      <c r="F15" s="35"/>
      <c r="G15" s="35"/>
      <c r="H15" s="35"/>
      <c r="I15" s="26" t="s">
        <v>47</v>
      </c>
      <c r="J15" s="35"/>
      <c r="K15" s="35"/>
      <c r="L15" s="35"/>
      <c r="M15" s="35"/>
      <c r="N15" s="35"/>
      <c r="O15" s="35"/>
      <c r="P15" s="35"/>
      <c r="Q15" s="36"/>
      <c r="R15" s="26" t="s">
        <v>50</v>
      </c>
      <c r="S15" s="45"/>
      <c r="T15" s="35"/>
      <c r="U15" s="35"/>
      <c r="V15" s="35"/>
      <c r="W15" s="35"/>
      <c r="X15" s="35"/>
      <c r="Y15" s="35"/>
      <c r="Z15" s="35"/>
      <c r="AA15" s="26" t="s">
        <v>47</v>
      </c>
      <c r="AB15" s="35"/>
      <c r="AC15" s="35"/>
      <c r="AD15" s="35"/>
      <c r="AE15" s="35"/>
      <c r="AF15" s="35"/>
      <c r="AG15" s="35"/>
      <c r="AH15" s="35"/>
      <c r="AI15" s="36"/>
      <c r="AJ15" s="26" t="s">
        <v>50</v>
      </c>
      <c r="AK15" s="35"/>
      <c r="AL15" s="35"/>
      <c r="AM15" s="35"/>
      <c r="AN15" s="35"/>
      <c r="AO15" s="35"/>
      <c r="AP15" s="35"/>
      <c r="AQ15" s="35"/>
      <c r="AR15" s="26" t="s">
        <v>47</v>
      </c>
      <c r="AS15" s="35"/>
      <c r="AT15" s="35"/>
      <c r="AU15" s="35"/>
      <c r="AV15" s="35"/>
      <c r="AW15" s="35"/>
      <c r="AX15" s="35"/>
      <c r="AY15" s="35"/>
      <c r="AZ15" s="36"/>
      <c r="BA15" s="26" t="s">
        <v>50</v>
      </c>
    </row>
    <row r="16" spans="1:53" x14ac:dyDescent="0.3">
      <c r="A16" s="43"/>
      <c r="B16" s="35"/>
      <c r="C16" s="35"/>
      <c r="D16" s="35"/>
      <c r="E16" s="35"/>
      <c r="F16" s="35"/>
      <c r="G16" s="35"/>
      <c r="H16" s="35"/>
      <c r="I16" s="57">
        <f>IF(AND(I4=0,I10=0),"Sem Dados!",I4/I10)</f>
        <v>96.266666666666666</v>
      </c>
      <c r="J16" s="35"/>
      <c r="K16" s="35"/>
      <c r="L16" s="35"/>
      <c r="M16" s="35"/>
      <c r="N16" s="35"/>
      <c r="O16" s="35"/>
      <c r="P16" s="35"/>
      <c r="Q16" s="36"/>
      <c r="R16" s="30">
        <f>COUNTIF(SituacaoChegadas,"Em aberto*")</f>
        <v>13</v>
      </c>
      <c r="S16" s="45"/>
      <c r="T16" s="35"/>
      <c r="U16" s="35"/>
      <c r="V16" s="35"/>
      <c r="W16" s="35"/>
      <c r="X16" s="35"/>
      <c r="Y16" s="35"/>
      <c r="Z16" s="35"/>
      <c r="AA16" s="59">
        <f>IF(AND(AA4=0,AA10=0),"Sem Dados!",AA4/AA10)</f>
        <v>96.266666666666666</v>
      </c>
      <c r="AB16" s="35"/>
      <c r="AC16" s="35"/>
      <c r="AD16" s="35"/>
      <c r="AE16" s="35"/>
      <c r="AF16" s="35"/>
      <c r="AG16" s="35"/>
      <c r="AH16" s="35"/>
      <c r="AI16" s="36"/>
      <c r="AJ16" s="30">
        <f>COUNTIF(SituacaoChegadas,"Em aberto*")</f>
        <v>13</v>
      </c>
      <c r="AK16" s="35"/>
      <c r="AL16" s="35"/>
      <c r="AM16" s="35"/>
      <c r="AN16" s="35"/>
      <c r="AO16" s="35"/>
      <c r="AP16" s="35"/>
      <c r="AQ16" s="35"/>
      <c r="AR16" s="28">
        <f>AR4/AR10</f>
        <v>96.266666666666666</v>
      </c>
      <c r="AS16" s="35"/>
      <c r="AT16" s="35"/>
      <c r="AU16" s="35"/>
      <c r="AV16" s="35"/>
      <c r="AW16" s="35"/>
      <c r="AX16" s="35"/>
      <c r="AY16" s="35"/>
      <c r="AZ16" s="36"/>
      <c r="BA16" s="30">
        <f>COUNTIF(SituacaoChegadas,"Em aberto*")</f>
        <v>13</v>
      </c>
    </row>
    <row r="17" spans="1:53" x14ac:dyDescent="0.3">
      <c r="A17" s="43"/>
      <c r="B17" s="35"/>
      <c r="C17" s="35"/>
      <c r="D17" s="35"/>
      <c r="E17" s="35"/>
      <c r="F17" s="35"/>
      <c r="G17" s="35"/>
      <c r="H17" s="35"/>
      <c r="I17" s="57"/>
      <c r="J17" s="35"/>
      <c r="K17" s="35"/>
      <c r="L17" s="35"/>
      <c r="M17" s="35"/>
      <c r="N17" s="35"/>
      <c r="O17" s="35"/>
      <c r="P17" s="35"/>
      <c r="Q17" s="36"/>
      <c r="R17" s="30"/>
      <c r="S17" s="45"/>
      <c r="T17" s="35"/>
      <c r="U17" s="35"/>
      <c r="V17" s="35"/>
      <c r="W17" s="35"/>
      <c r="X17" s="35"/>
      <c r="Y17" s="35"/>
      <c r="Z17" s="35"/>
      <c r="AA17" s="59"/>
      <c r="AB17" s="35"/>
      <c r="AC17" s="35"/>
      <c r="AD17" s="35"/>
      <c r="AE17" s="35"/>
      <c r="AF17" s="35"/>
      <c r="AG17" s="35"/>
      <c r="AH17" s="35"/>
      <c r="AI17" s="36"/>
      <c r="AJ17" s="30"/>
      <c r="AK17" s="35"/>
      <c r="AL17" s="35"/>
      <c r="AM17" s="35"/>
      <c r="AN17" s="35"/>
      <c r="AO17" s="35"/>
      <c r="AP17" s="35"/>
      <c r="AQ17" s="35"/>
      <c r="AR17" s="28"/>
      <c r="AS17" s="35"/>
      <c r="AT17" s="35"/>
      <c r="AU17" s="35"/>
      <c r="AV17" s="35"/>
      <c r="AW17" s="35"/>
      <c r="AX17" s="35"/>
      <c r="AY17" s="35"/>
      <c r="AZ17" s="36"/>
      <c r="BA17" s="30"/>
    </row>
    <row r="18" spans="1:53" x14ac:dyDescent="0.3">
      <c r="A18" s="43"/>
      <c r="B18" s="35"/>
      <c r="C18" s="35"/>
      <c r="D18" s="35"/>
      <c r="E18" s="35"/>
      <c r="F18" s="35"/>
      <c r="G18" s="35"/>
      <c r="H18" s="35"/>
      <c r="I18" s="57"/>
      <c r="J18" s="35"/>
      <c r="K18" s="35"/>
      <c r="L18" s="35"/>
      <c r="M18" s="35"/>
      <c r="N18" s="35"/>
      <c r="O18" s="35"/>
      <c r="P18" s="35"/>
      <c r="Q18" s="36"/>
      <c r="R18" s="30"/>
      <c r="S18" s="45"/>
      <c r="T18" s="35"/>
      <c r="U18" s="35"/>
      <c r="V18" s="35"/>
      <c r="W18" s="35"/>
      <c r="X18" s="35"/>
      <c r="Y18" s="35"/>
      <c r="Z18" s="35"/>
      <c r="AA18" s="59"/>
      <c r="AB18" s="35"/>
      <c r="AC18" s="35"/>
      <c r="AD18" s="35"/>
      <c r="AE18" s="35"/>
      <c r="AF18" s="35"/>
      <c r="AG18" s="35"/>
      <c r="AH18" s="35"/>
      <c r="AI18" s="36"/>
      <c r="AJ18" s="30"/>
      <c r="AK18" s="35"/>
      <c r="AL18" s="35"/>
      <c r="AM18" s="35"/>
      <c r="AN18" s="35"/>
      <c r="AO18" s="35"/>
      <c r="AP18" s="35"/>
      <c r="AQ18" s="35"/>
      <c r="AR18" s="28"/>
      <c r="AS18" s="35"/>
      <c r="AT18" s="35"/>
      <c r="AU18" s="35"/>
      <c r="AV18" s="35"/>
      <c r="AW18" s="35"/>
      <c r="AX18" s="35"/>
      <c r="AY18" s="35"/>
      <c r="AZ18" s="36"/>
      <c r="BA18" s="30"/>
    </row>
    <row r="19" spans="1:53" x14ac:dyDescent="0.3">
      <c r="A19" s="43"/>
      <c r="B19" s="35"/>
      <c r="C19" s="35"/>
      <c r="D19" s="35"/>
      <c r="E19" s="35"/>
      <c r="F19" s="35"/>
      <c r="G19" s="35"/>
      <c r="H19" s="35"/>
      <c r="I19" s="57"/>
      <c r="J19" s="35"/>
      <c r="K19" s="35"/>
      <c r="L19" s="35"/>
      <c r="M19" s="35"/>
      <c r="N19" s="35"/>
      <c r="O19" s="35"/>
      <c r="P19" s="35"/>
      <c r="Q19" s="36"/>
      <c r="R19" s="30"/>
      <c r="S19" s="45"/>
      <c r="T19" s="35"/>
      <c r="U19" s="35"/>
      <c r="V19" s="35"/>
      <c r="W19" s="35"/>
      <c r="X19" s="35"/>
      <c r="Y19" s="35"/>
      <c r="Z19" s="35"/>
      <c r="AA19" s="59"/>
      <c r="AB19" s="35"/>
      <c r="AC19" s="35"/>
      <c r="AD19" s="35"/>
      <c r="AE19" s="35"/>
      <c r="AF19" s="35"/>
      <c r="AG19" s="35"/>
      <c r="AH19" s="35"/>
      <c r="AI19" s="36"/>
      <c r="AJ19" s="30"/>
      <c r="AK19" s="35"/>
      <c r="AL19" s="35"/>
      <c r="AM19" s="35"/>
      <c r="AN19" s="35"/>
      <c r="AO19" s="35"/>
      <c r="AP19" s="35"/>
      <c r="AQ19" s="35"/>
      <c r="AR19" s="28"/>
      <c r="AS19" s="35"/>
      <c r="AT19" s="35"/>
      <c r="AU19" s="35"/>
      <c r="AV19" s="35"/>
      <c r="AW19" s="35"/>
      <c r="AX19" s="35"/>
      <c r="AY19" s="35"/>
      <c r="AZ19" s="36"/>
      <c r="BA19" s="30"/>
    </row>
    <row r="20" spans="1:53" ht="15" thickBot="1" x14ac:dyDescent="0.35">
      <c r="A20" s="44"/>
      <c r="B20" s="37"/>
      <c r="C20" s="37"/>
      <c r="D20" s="37"/>
      <c r="E20" s="37"/>
      <c r="F20" s="37"/>
      <c r="G20" s="37"/>
      <c r="H20" s="37"/>
      <c r="I20" s="58"/>
      <c r="J20" s="37"/>
      <c r="K20" s="37"/>
      <c r="L20" s="37"/>
      <c r="M20" s="37"/>
      <c r="N20" s="37"/>
      <c r="O20" s="37"/>
      <c r="P20" s="37"/>
      <c r="Q20" s="40"/>
      <c r="R20" s="31"/>
      <c r="S20" s="46"/>
      <c r="T20" s="37"/>
      <c r="U20" s="37"/>
      <c r="V20" s="37"/>
      <c r="W20" s="37"/>
      <c r="X20" s="37"/>
      <c r="Y20" s="37"/>
      <c r="Z20" s="37"/>
      <c r="AA20" s="60"/>
      <c r="AB20" s="37"/>
      <c r="AC20" s="37"/>
      <c r="AD20" s="37"/>
      <c r="AE20" s="37"/>
      <c r="AF20" s="37"/>
      <c r="AG20" s="37"/>
      <c r="AH20" s="37"/>
      <c r="AI20" s="40"/>
      <c r="AJ20" s="31"/>
      <c r="AK20" s="37"/>
      <c r="AL20" s="37"/>
      <c r="AM20" s="37"/>
      <c r="AN20" s="37"/>
      <c r="AO20" s="37"/>
      <c r="AP20" s="37"/>
      <c r="AQ20" s="37"/>
      <c r="AR20" s="29"/>
      <c r="AS20" s="37"/>
      <c r="AT20" s="37"/>
      <c r="AU20" s="37"/>
      <c r="AV20" s="37"/>
      <c r="AW20" s="37"/>
      <c r="AX20" s="37"/>
      <c r="AY20" s="37"/>
      <c r="AZ20" s="40"/>
      <c r="BA20" s="31"/>
    </row>
    <row r="21" spans="1:53" x14ac:dyDescent="0.3">
      <c r="I21" s="25"/>
    </row>
  </sheetData>
  <mergeCells count="30">
    <mergeCell ref="R10:R14"/>
    <mergeCell ref="R16:R20"/>
    <mergeCell ref="B2:R2"/>
    <mergeCell ref="A1:A20"/>
    <mergeCell ref="S1:S20"/>
    <mergeCell ref="T1:AJ1"/>
    <mergeCell ref="T3:Z20"/>
    <mergeCell ref="AB3:AI20"/>
    <mergeCell ref="AA4:AA8"/>
    <mergeCell ref="AJ4:AJ8"/>
    <mergeCell ref="AA10:AA14"/>
    <mergeCell ref="AJ10:AJ14"/>
    <mergeCell ref="B1:R1"/>
    <mergeCell ref="B3:H20"/>
    <mergeCell ref="J3:Q20"/>
    <mergeCell ref="I4:I8"/>
    <mergeCell ref="I10:I14"/>
    <mergeCell ref="I16:I20"/>
    <mergeCell ref="R4:R8"/>
    <mergeCell ref="AR16:AR20"/>
    <mergeCell ref="BA16:BA20"/>
    <mergeCell ref="AA16:AA20"/>
    <mergeCell ref="AJ16:AJ20"/>
    <mergeCell ref="AK1:BA1"/>
    <mergeCell ref="AK3:AQ20"/>
    <mergeCell ref="AS3:AZ20"/>
    <mergeCell ref="AR4:AR8"/>
    <mergeCell ref="BA4:BA8"/>
    <mergeCell ref="AR10:AR14"/>
    <mergeCell ref="BA10:BA14"/>
  </mergeCells>
  <conditionalFormatting sqref="R10:R14">
    <cfRule type="expression" dxfId="6" priority="6">
      <formula>$R$10=$R$16</formula>
    </cfRule>
    <cfRule type="expression" dxfId="5" priority="7">
      <formula>$R$10&gt;=(+$R$16/2)</formula>
    </cfRule>
  </conditionalFormatting>
  <conditionalFormatting sqref="AJ10:AJ14">
    <cfRule type="expression" dxfId="4" priority="4">
      <formula>$R$10=$R$16</formula>
    </cfRule>
    <cfRule type="expression" dxfId="3" priority="5">
      <formula>$R$10&gt;=(+$R$16/2)</formula>
    </cfRule>
  </conditionalFormatting>
  <conditionalFormatting sqref="BA10:BA14">
    <cfRule type="expression" dxfId="2" priority="2">
      <formula>$R$10=$R$16</formula>
    </cfRule>
    <cfRule type="expression" dxfId="1" priority="3">
      <formula>$R$10&gt;=(+$R$16/2)</formula>
    </cfRule>
  </conditionalFormatting>
  <conditionalFormatting sqref="B2:R2">
    <cfRule type="containsText" dxfId="0" priority="1" operator="containsText" text="Média">
      <formula>NOT(ISERROR(SEARCH("Média",B2)))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C0448-DFAE-45CE-974C-61D884852832}">
  <dimension ref="A1:A2"/>
  <sheetViews>
    <sheetView workbookViewId="0">
      <selection activeCell="A3" sqref="A3"/>
    </sheetView>
  </sheetViews>
  <sheetFormatPr defaultRowHeight="14.4" x14ac:dyDescent="0.3"/>
  <cols>
    <col min="1" max="1" width="17.88671875" bestFit="1" customWidth="1"/>
  </cols>
  <sheetData>
    <row r="1" spans="1:1" x14ac:dyDescent="0.3">
      <c r="A1" t="s">
        <v>55</v>
      </c>
    </row>
    <row r="2" spans="1:1" x14ac:dyDescent="0.3">
      <c r="A2">
        <f>AVERAGE(Pesos)</f>
        <v>96.266666666666666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ADAA82B37D6A34396C9A79382D322B2" ma:contentTypeVersion="7" ma:contentTypeDescription="Crie um novo documento." ma:contentTypeScope="" ma:versionID="1793825d7b05ea3989becfa6f4c745dc">
  <xsd:schema xmlns:xsd="http://www.w3.org/2001/XMLSchema" xmlns:xs="http://www.w3.org/2001/XMLSchema" xmlns:p="http://schemas.microsoft.com/office/2006/metadata/properties" xmlns:ns3="44473e96-bad3-4ccd-b3db-2438e2abade5" targetNamespace="http://schemas.microsoft.com/office/2006/metadata/properties" ma:root="true" ma:fieldsID="056e6b85bc79c915fb5c20b44a88eb3f" ns3:_="">
    <xsd:import namespace="44473e96-bad3-4ccd-b3db-2438e2abade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473e96-bad3-4ccd-b3db-2438e2abad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1E2AAA-2183-4DCF-A571-7D87F752D774}">
  <ds:schemaRefs>
    <ds:schemaRef ds:uri="44473e96-bad3-4ccd-b3db-2438e2abade5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E692FDF-EAFF-4092-8ABB-67254EBFAA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473e96-bad3-4ccd-b3db-2438e2abad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4CE2725-B27F-4F45-8730-2F37D1E15C2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4</vt:i4>
      </vt:variant>
    </vt:vector>
  </HeadingPairs>
  <TitlesOfParts>
    <vt:vector size="8" baseType="lpstr">
      <vt:lpstr>Controle de Entregas</vt:lpstr>
      <vt:lpstr>Tabelas Dinâmicas</vt:lpstr>
      <vt:lpstr>Dashboard</vt:lpstr>
      <vt:lpstr>Indicadores Base</vt:lpstr>
      <vt:lpstr>OrigemDinamica</vt:lpstr>
      <vt:lpstr>Pesos</vt:lpstr>
      <vt:lpstr>SituacaoChegadas</vt:lpstr>
      <vt:lpstr>SituacaoPartidas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Testes Office Resolve</dc:creator>
  <cp:lastModifiedBy>Usuario</cp:lastModifiedBy>
  <dcterms:created xsi:type="dcterms:W3CDTF">2020-01-28T18:38:11Z</dcterms:created>
  <dcterms:modified xsi:type="dcterms:W3CDTF">2021-03-23T03:41:31Z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0x010100DADAA82B37D6A34396C9A79382D322B2</vt:lpwstr>
  </property>
</Properties>
</file>